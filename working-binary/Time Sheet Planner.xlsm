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716"/>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<sst xmlns="http://schemas.openxmlformats.org/spreadsheetml/2006/main" count="208" uniqueCount="150">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</sst>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9">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3" fillId="0" borderId="9" xfId="0" applyFont="1" applyFill="1" applyBorder="1" applyAlignment="1">
      <alignment horizontal="left"/>
    </xf>
    <xf numFmtId="0" fontId="13" fillId="0" borderId="9" xfId="0" applyFont="1" applyBorder="1" applyAlignment="1"/>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714375</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8.xml"/><Relationship Id="rId1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4.emf"/><Relationship Id="rId12" Type="http://schemas.openxmlformats.org/officeDocument/2006/relationships/image" Target="../media/image6.emf"/><Relationship Id="rId1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1" Type="http://schemas.openxmlformats.org/officeDocument/2006/relationships/printerSettings" Target="../printerSettings/printerSettings4.bin"/><Relationship Id="rId6" Type="http://schemas.openxmlformats.org/officeDocument/2006/relationships/control" Target="../activeX/activeX4.xml"/><Relationship Id="rId11" Type="http://schemas.openxmlformats.org/officeDocument/2006/relationships/control" Target="../activeX/activeX7.xml"/><Relationship Id="rId5" Type="http://schemas.openxmlformats.org/officeDocument/2006/relationships/image" Target="../media/image3.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image" Target="../media/image8.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10" customWidth="1"/>
    <col min="9" max="9" width="10.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4" t="str">
        <f>IF(SUM(I3:I9)&gt;0,"PTO:","")</f>
        <v/>
      </c>
      <c r="I12" s="115" t="str">
        <f>IF(SUMIF(H3:H9,"=PTO",I3:I9)&gt;0,SUMIF(H3:H9,"=PTO",I3:I9),IF(AND(SUM(I3:I9)&gt;0,I15&gt;0,I15&lt;&gt;""),"?",""))</f>
        <v/>
      </c>
      <c r="J12" s="5"/>
      <c r="K12" s="5"/>
      <c r="L12" s="3" t="str">
        <f>IF(SUM(I3:I9)&gt;=(B1*0.8),"Vacation week, huh?","")</f>
        <v/>
      </c>
      <c r="M12" s="4"/>
    </row>
    <row r="13" spans="1:14" x14ac:dyDescent="0.2">
      <c r="B13" s="89"/>
      <c r="C13" s="6"/>
      <c r="D13" s="6"/>
      <c r="E13" s="6"/>
      <c r="F13" s="67"/>
      <c r="G13" s="90"/>
      <c r="H13" s="114" t="str">
        <f>IF(SUM(I3:I9)&gt;0,"Comp:","")</f>
        <v/>
      </c>
      <c r="I13" s="116"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4" t="str">
        <f>IF(SUM(I3:I9)&gt;0,"Holiday:","")</f>
        <v/>
      </c>
      <c r="I14" s="116" t="str">
        <f>IF(SUMIF(H3:H9,"=Holiday",I3:I9)&gt;0,SUMIF(H3:H9,"=Holiday",I3:I9),IF(AND(SUM(I3:I9)&gt;0,I15&gt;0,I15&lt;&gt;""),"?",""))</f>
        <v/>
      </c>
      <c r="L14" s="3"/>
      <c r="M14" s="4"/>
    </row>
    <row r="15" spans="1:14" x14ac:dyDescent="0.2">
      <c r="B15" s="67"/>
      <c r="G15" s="14"/>
      <c r="H15" s="114" t="str">
        <f>IF(AND(SUM(I3:I9)&gt;0,I15&gt;0,I15&lt;&gt;""),"Other:","")</f>
        <v/>
      </c>
      <c r="I15" s="115"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905" r:id="rId6" name="btnCreateTimeOffSheet">
          <controlPr autoLine="0" r:id="rId7">
            <anchor moveWithCells="1">
              <from>
                <xdr:col>5</xdr:col>
                <xdr:colOff>76200</xdr:colOff>
                <xdr:row>10</xdr:row>
                <xdr:rowOff>200025</xdr:rowOff>
              </from>
              <to>
                <xdr:col>6</xdr:col>
                <xdr:colOff>714375</xdr:colOff>
                <xdr:row>10</xdr:row>
                <xdr:rowOff>600075</xdr:rowOff>
              </to>
            </anchor>
          </controlPr>
        </control>
      </mc:Choice>
      <mc:Fallback>
        <control shapeId="1189905" r:id="rId6" name="btnCreateTimeOffSheet"/>
      </mc:Fallback>
    </mc:AlternateContent>
    <mc:AlternateContent xmlns:mc="http://schemas.openxmlformats.org/markup-compatibility/2006">
      <mc:Choice Requires="x14">
        <control shapeId="1189889" r:id="rId8"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9"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0"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1"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11" customWidth="1"/>
    <col min="10" max="10" width="5" customWidth="1"/>
  </cols>
  <sheetData>
    <row r="2" spans="1:10" ht="19.5" customHeight="1" thickBot="1" x14ac:dyDescent="0.25">
      <c r="A2" s="100" t="s">
        <v>109</v>
      </c>
      <c r="B2" s="100"/>
      <c r="C2" s="102" t="s">
        <v>147</v>
      </c>
      <c r="D2" s="102"/>
      <c r="E2" s="100"/>
      <c r="F2" s="100" t="s">
        <v>112</v>
      </c>
      <c r="G2" s="100"/>
      <c r="H2" s="108">
        <v>41540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3"/>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7"/>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7"/>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7"/>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7"/>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01"/>
      <c r="E32" s="101"/>
      <c r="F32" s="101"/>
      <c r="G32" s="101"/>
      <c r="H32" s="101"/>
      <c r="I32" s="10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01"/>
      <c r="E35" s="101"/>
      <c r="F35" s="101"/>
      <c r="G35" s="101"/>
      <c r="H35" s="101"/>
      <c r="I35" s="10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3">
    <mergeCell ref="A24:I24"/>
    <mergeCell ref="A26:I26"/>
    <mergeCell ref="A28:I28"/>
  </mergeCells>
  <conditionalFormatting sqref="C6:D6 C4:D4 H2 H6 A24">
    <cfRule type="containsBlanks" dxfId="0" priority="3">
      <formula>LEN(TRIM(A2))=0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123825</xdr:colOff>
                <xdr:row>1</xdr:row>
                <xdr:rowOff>180975</xdr:rowOff>
              </from>
              <to>
                <xdr:col>12</xdr:col>
                <xdr:colOff>180975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28575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7" t="s">
        <v>26</v>
      </c>
      <c r="B1" s="127"/>
      <c r="C1" s="127"/>
      <c r="D1" s="127"/>
      <c r="E1" s="127"/>
      <c r="N1" s="128" t="s">
        <v>39</v>
      </c>
      <c r="O1" s="128"/>
      <c r="P1" s="128"/>
      <c r="Q1" s="128"/>
      <c r="R1" s="128"/>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B46" sqref="B46"/>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D2" t="b">
        <v>0</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2013-09-19T14:00:25Z</cp:lastPrinted>
  <dcterms:created xsi:type="dcterms:W3CDTF">2011-08-11T20:04:03Z</dcterms:created>
  <dcterms:modified xsi:type="dcterms:W3CDTF">2013-09-23T17:51:22Z</dcterms:modified>
</cp:coreProperties>
</file>