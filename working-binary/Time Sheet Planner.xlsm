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832" r:id="rId1"/>
    <sheet name="Hidden Backup of Old Backup" sheetId="1836" state="veryHidden" r:id="rId2"/>
    <sheet name="Hidden Backup of Main" sheetId="1981" state="veryHidden" r:id="rId3"/>
    <sheet name="Example" sheetId="1362" r:id="rId4"/>
    <sheet name="Supervisor Time Sheet Planner" sheetId="1927" r:id="rId5"/>
    <sheet name="User Prefs" sheetId="5" r:id="rId6"/>
    <sheet name="Changelog" sheetId="8" r:id="rId7"/>
    <sheet name="PeopleSoft" sheetId="1709" r:id="rId8"/>
  </sheets>
  <functionGroups builtInGroupCount="17"/>
  <calcPr calcId="145621"/>
</workbook>
</file>

<file path=xl/calcChain.xml><?xml version="1.0" encoding="utf-8"?>
<calcChain xmlns="http://schemas.openxmlformats.org/spreadsheetml/2006/main">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I21" i="1927" l="1"/>
  <c r="H21" i="1927"/>
  <c r="G21" i="1927"/>
  <c r="G20" i="1927"/>
  <c r="H20" i="1927" s="1"/>
  <c r="G19" i="1927"/>
  <c r="H19" i="1927" s="1"/>
  <c r="K18" i="1927"/>
  <c r="G18" i="1927"/>
  <c r="H18" i="1927" s="1"/>
  <c r="K17" i="1927"/>
  <c r="H17" i="1927"/>
  <c r="G17" i="1927"/>
  <c r="L16" i="1927"/>
  <c r="L15" i="1927"/>
  <c r="K15" i="1927"/>
  <c r="A19" i="1927" s="1"/>
  <c r="A21" i="1927" s="1"/>
  <c r="L14" i="1927"/>
  <c r="J14" i="1927"/>
  <c r="L13" i="1927"/>
  <c r="J13" i="1927"/>
  <c r="J12" i="1927"/>
  <c r="L11" i="1927"/>
  <c r="J11" i="1927"/>
  <c r="J10" i="1927"/>
  <c r="L9" i="1927"/>
  <c r="J9" i="1927"/>
  <c r="J8" i="1927"/>
  <c r="L7" i="1927"/>
  <c r="J7" i="1927"/>
  <c r="J6" i="1927"/>
  <c r="L5" i="1927"/>
  <c r="J5" i="1927"/>
  <c r="J4" i="1927"/>
  <c r="L3" i="1927"/>
  <c r="J3" i="1927"/>
  <c r="A22" i="1927" l="1"/>
  <c r="A23" i="1927" s="1"/>
  <c r="B21" i="1927"/>
  <c r="B22" i="1927" s="1"/>
  <c r="K16" i="1927"/>
  <c r="A24" i="1927" l="1"/>
  <c r="C23" i="1927"/>
  <c r="C24" i="1927" l="1"/>
  <c r="B24" i="1927"/>
  <c r="L3" i="1832" l="1"/>
  <c r="L5"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K17" i="1832"/>
  <c r="G17" i="1832"/>
  <c r="G20" i="1832" s="1"/>
  <c r="H20" i="1832" s="1"/>
  <c r="L15" i="1832"/>
  <c r="K15" i="1832"/>
  <c r="K18" i="1832" s="1"/>
  <c r="L14" i="1832"/>
  <c r="J14" i="1832"/>
  <c r="L13" i="1832"/>
  <c r="J13" i="1832"/>
  <c r="J12" i="1832"/>
  <c r="L11" i="1832"/>
  <c r="J11" i="1832"/>
  <c r="J10" i="1832"/>
  <c r="L9" i="1832"/>
  <c r="J9" i="1832"/>
  <c r="J8" i="1832"/>
  <c r="L7" i="1832"/>
  <c r="J7" i="1832"/>
  <c r="J6" i="1832"/>
  <c r="J5" i="1832"/>
  <c r="J4" i="1832"/>
  <c r="J3" i="1832"/>
  <c r="A22" i="1836" l="1"/>
  <c r="A23" i="1836" s="1"/>
  <c r="B21" i="1836"/>
  <c r="B22" i="1836" s="1"/>
  <c r="K16" i="1836"/>
  <c r="K16" i="1832"/>
  <c r="A19" i="1832"/>
  <c r="H17" i="1832"/>
  <c r="L16" i="1832" s="1"/>
  <c r="G18" i="1832"/>
  <c r="H18" i="1832" s="1"/>
  <c r="G19" i="1832"/>
  <c r="H19" i="1832" s="1"/>
  <c r="A24" i="1836" l="1"/>
  <c r="C23" i="1836"/>
  <c r="C24" i="1836" l="1"/>
  <c r="B24" i="1836"/>
  <c r="K17" i="1362" l="1"/>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comments5.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<sst xmlns="http://schemas.openxmlformats.org/spreadsheetml/2006/main" count="228" uniqueCount="110">
  <si>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</si>
  <si>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</si>
  <si>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</si>
  <si>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</si>
  <si>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</si>
  <si>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</si>
  <si>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</si>
  <si>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</si>
  <si>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</si>
  <si>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</si>
  <si>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</si>
  <si>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</si>
  <si>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</si>
  <si>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</si>
  <si>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</si>
  <si>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</si>
  <si>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</si>
  <si>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</si>
  <si>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</si>
  <si>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</si>
  <si>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</si>
  <si>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</si>
  <si>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</si>
  <si>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</si>
  <si>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</si>
  <si>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</si>
  <si>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</si>
  <si>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</si>
  <si>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</si>
  <si>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</si>
  <si>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</si>
  <si>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</si>
  <si>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</si>
  <si>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</si>
  <si>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</si>
  <si>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</si>
  <si>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</si>
  <si>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</si>
  <si>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</si>
  <si>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</si>
  <si>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</si>
  <si>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</si>
  <si>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</si>
  <si>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</si>
  <si>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</si>
  <si>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</si>
  <si>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</si>
  <si>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</si>
  <si>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</si>
  <si>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</si>
  <si>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</si>
  <si>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</si>
  <si>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</si>
  <si>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</si>
  <si>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</si>
  <si>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</si>
  <si>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</si>
  <si>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</si>
  <si>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</si>
  <si>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</si>
  <si>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</si>
  <si>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</si>
  <si>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</si>
  <si>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</si>
  <si>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</si>
  <si>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</si>
  <si>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</si>
  <si>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</si>
  <si>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</si>
  <si>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</si>
  <si>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</si>
  <si>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</si>
  <si>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</si>
  <si>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</si>
  <si>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</si>
  <si>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</si>
  <si>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</si>
  <si>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</si>
  <si>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</si>
  <si>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</si>
  <si>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</si>
  <si>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</si>
  <si>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</si>
  <si>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</si>
  <si>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</si>
  <si>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</si>
  <si>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</si>
  <si>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</si>
  <si>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</si>
  <si>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</si>
  <si>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</si>
  <si>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</si>
  <si>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</si>
  <si>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</si>
  <si>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</si>
  <si>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</si>
  <si>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</si>
  <si>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</si>
  <si>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</si>
  <si>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</si>
  <si>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</si>
  <si>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</si>
  <si>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</si>
  <si>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</si>
  <si>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</si>
  <si>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</si>
  <si>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</si>
  <si>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</si>
  <si>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</si>
  <si>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
(eg. 3.25)</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</si>
</sst>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2"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
      <i/>
      <sz val="10"/>
      <color indexed="8"/>
      <name val="Arial"/>
      <family val="2"/>
    </font>
    <font>
      <u/>
      <sz val="10"/>
      <color theme="10"/>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43" fontId="5"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120">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10"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11"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6" fillId="0" borderId="0" xfId="0" applyNumberFormat="1" applyFont="1" applyFill="1" applyAlignment="1" applyProtection="1">
      <alignment horizontal="left" vertical="center" wrapText="1"/>
      <protection hidden="1"/>
    </xf>
    <xf numFmtId="0" fontId="2" fillId="0" borderId="0" xfId="0" applyNumberFormat="1" applyFont="1" applyFill="1" applyAlignment="1">
      <alignment horizontal="right" vertical="center" wrapText="1"/>
    </xf>
  </cellXfs>
  <cellStyles count="3">
    <cellStyle name="Comma" xfId="1" builtinId="3"/>
    <cellStyle name="Hyperlink" xfId="2" builtinId="8"/>
    <cellStyle name="Normal" xfId="0" builtinId="0"/>
  </cellStyles>
  <dxfs count="4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1732</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1732</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8659</xdr:colOff>
          <xdr:row>0</xdr:row>
          <xdr:rowOff>0</xdr:rowOff>
        </xdr:from>
        <xdr:to>
          <xdr:col>7</xdr:col>
          <xdr:colOff>0</xdr:colOff>
          <xdr:row>1</xdr:row>
          <xdr:rowOff>17317</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18913" name="Button 1" hidden="1">
              <a:extLst>
                <a:ext uri="{63B3BB69-23CF-44E3-9099-C40C66FF867C}">
                  <a14:compatExt spid="_x0000_s13189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18914" name="Button 2" hidden="1">
              <a:extLst>
                <a:ext uri="{63B3BB69-23CF-44E3-9099-C40C66FF867C}">
                  <a14:compatExt spid="_x0000_s13189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18915" name="Button 3" hidden="1">
              <a:extLst>
                <a:ext uri="{63B3BB69-23CF-44E3-9099-C40C66FF867C}">
                  <a14:compatExt spid="_x0000_s13189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18916" name="Button 4" hidden="1">
              <a:extLst>
                <a:ext uri="{63B3BB69-23CF-44E3-9099-C40C66FF867C}">
                  <a14:compatExt spid="_x0000_s13189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18917" name="Button 5" hidden="1">
              <a:extLst>
                <a:ext uri="{63B3BB69-23CF-44E3-9099-C40C66FF867C}">
                  <a14:compatExt spid="_x0000_s13189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200"/>
  <sheetViews>
    <sheetView tabSelected="1" zoomScale="110" zoomScaleNormal="110" workbookViewId="0">
      <selection activeCell="A4" sqref="A4:XFD4"/>
    </sheetView>
  </sheetViews>
  <sheetFormatPr defaultColWidth="17.140625" defaultRowHeight="12.75" customHeight="1" x14ac:dyDescent="0.2"/>
  <cols>
    <col min="1" max="1" width="12.5703125" customWidth="1"/>
    <col min="2" max="8" width="11.7109375" customWidth="1"/>
    <col min="9" max="9" width="3" customWidth="1"/>
    <col min="10" max="10" width="1.7109375" customWidth="1"/>
    <col min="11" max="11" width="13.7109375" bestFit="1" customWidth="1"/>
    <col min="12" max="12" width="56.85546875" bestFit="1" customWidth="1"/>
    <col min="13" max="13" width="25" customWidth="1"/>
    <col min="14" max="23" width="17.140625" customWidth="1"/>
  </cols>
  <sheetData>
    <row r="1" spans="1:13" ht="51" x14ac:dyDescent="0.2">
      <c r="A1" s="87" t="s">
        <v>107</v>
      </c>
      <c r="B1" s="86">
        <v>40</v>
      </c>
    </row>
    <row r="2" spans="1:13" ht="26.25" thickBot="1" x14ac:dyDescent="0.25">
      <c r="A2" s="115"/>
      <c r="B2" s="3" t="s">
        <v>4</v>
      </c>
      <c r="C2" s="3" t="s">
        <v>13</v>
      </c>
      <c r="D2" s="3" t="s">
        <v>15</v>
      </c>
      <c r="E2" s="3" t="s">
        <v>0</v>
      </c>
      <c r="F2" s="3" t="s">
        <v>4</v>
      </c>
      <c r="G2" s="3" t="s">
        <v>0</v>
      </c>
      <c r="H2" s="3" t="s">
        <v>109</v>
      </c>
      <c r="I2" s="69"/>
      <c r="J2" s="3"/>
      <c r="K2" s="4" t="s">
        <v>108</v>
      </c>
      <c r="L2" s="25" t="s">
        <v>18</v>
      </c>
      <c r="M2" s="20" t="s">
        <v>20</v>
      </c>
    </row>
    <row r="3" spans="1:13" ht="12.75" customHeight="1" x14ac:dyDescent="0.2">
      <c r="A3" s="117" t="s">
        <v>11</v>
      </c>
      <c r="B3" s="30">
        <v>0.31597222222222221</v>
      </c>
      <c r="C3" s="31"/>
      <c r="D3" s="31"/>
      <c r="E3" s="31">
        <v>0.62777777777777777</v>
      </c>
      <c r="F3" s="31"/>
      <c r="G3" s="75"/>
      <c r="H3" s="32"/>
      <c r="I3" s="33"/>
      <c r="J3" s="34" t="str">
        <f>IF(OR(I3="comp",I3="cat",I3="pto",I3=""),"",I3)</f>
        <v/>
      </c>
      <c r="K3" s="95">
        <v>7.5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customHeight="1" x14ac:dyDescent="0.2">
      <c r="A4" s="118" t="s">
        <v>1</v>
      </c>
      <c r="B4" s="38"/>
      <c r="C4" s="39"/>
      <c r="D4" s="39"/>
      <c r="E4" s="39"/>
      <c r="F4" s="39"/>
      <c r="G4" s="39"/>
      <c r="H4" s="40"/>
      <c r="I4" s="41"/>
      <c r="J4" s="42" t="str">
        <f t="shared" ref="J4:J14" si="0">IF(OR(I4="comp",I4="cat",I4="pto",I4=""),"",I4)</f>
        <v/>
      </c>
      <c r="K4" s="96"/>
      <c r="L4" s="44"/>
      <c r="M4" s="45"/>
    </row>
    <row r="5" spans="1:13" ht="12.75" customHeight="1" x14ac:dyDescent="0.2">
      <c r="A5" s="117" t="s">
        <v>12</v>
      </c>
      <c r="B5" s="46">
        <v>0.30700231481481483</v>
      </c>
      <c r="C5" s="47"/>
      <c r="D5" s="47"/>
      <c r="E5" s="47">
        <v>0.64722222222222225</v>
      </c>
      <c r="F5" s="82"/>
      <c r="G5" s="47"/>
      <c r="H5" s="40"/>
      <c r="I5" s="42"/>
      <c r="J5" s="48" t="str">
        <f t="shared" si="0"/>
        <v/>
      </c>
      <c r="K5" s="97">
        <v>8.25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customHeight="1" x14ac:dyDescent="0.2">
      <c r="A6" s="118" t="s">
        <v>1</v>
      </c>
      <c r="B6" s="38"/>
      <c r="C6" s="39"/>
      <c r="D6" s="39"/>
      <c r="E6" s="39"/>
      <c r="F6" s="39"/>
      <c r="G6" s="39"/>
      <c r="H6" s="40"/>
      <c r="I6" s="41"/>
      <c r="J6" s="42" t="str">
        <f t="shared" si="0"/>
        <v/>
      </c>
      <c r="K6" s="96"/>
      <c r="L6" s="44"/>
      <c r="M6" s="45"/>
    </row>
    <row r="7" spans="1:13" ht="12.75" customHeight="1" x14ac:dyDescent="0.2">
      <c r="A7" s="117" t="s">
        <v>14</v>
      </c>
      <c r="B7" s="46">
        <v>0.3125</v>
      </c>
      <c r="C7" s="47"/>
      <c r="D7" s="47"/>
      <c r="E7" s="47">
        <v>0.64861111111111114</v>
      </c>
      <c r="F7" s="47"/>
      <c r="G7" s="47"/>
      <c r="H7" s="40"/>
      <c r="I7" s="42"/>
      <c r="J7" s="48" t="str">
        <f t="shared" si="0"/>
        <v/>
      </c>
      <c r="K7" s="97">
        <v>8</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customHeight="1" x14ac:dyDescent="0.2">
      <c r="A8" s="118" t="s">
        <v>1</v>
      </c>
      <c r="B8" s="38"/>
      <c r="C8" s="39"/>
      <c r="D8" s="39"/>
      <c r="E8" s="39"/>
      <c r="F8" s="39"/>
      <c r="G8" s="39"/>
      <c r="H8" s="40"/>
      <c r="I8" s="41"/>
      <c r="J8" s="42" t="str">
        <f t="shared" si="0"/>
        <v/>
      </c>
      <c r="K8" s="96"/>
      <c r="L8" s="44"/>
      <c r="M8" s="45"/>
    </row>
    <row r="9" spans="1:13" ht="12.75" customHeight="1" x14ac:dyDescent="0.2">
      <c r="A9" s="117" t="s">
        <v>10</v>
      </c>
      <c r="B9" s="46"/>
      <c r="C9" s="47"/>
      <c r="D9" s="47"/>
      <c r="E9" s="47"/>
      <c r="F9" s="47"/>
      <c r="G9" s="47"/>
      <c r="H9" s="40">
        <v>8</v>
      </c>
      <c r="I9" s="42"/>
      <c r="J9" s="48" t="str">
        <f t="shared" si="0"/>
        <v/>
      </c>
      <c r="K9" s="97">
        <v>8</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customHeight="1" x14ac:dyDescent="0.2">
      <c r="A10" s="118" t="s">
        <v>1</v>
      </c>
      <c r="B10" s="38"/>
      <c r="C10" s="39"/>
      <c r="D10" s="39"/>
      <c r="E10" s="39"/>
      <c r="F10" s="39"/>
      <c r="G10" s="39"/>
      <c r="H10" s="40"/>
      <c r="I10" s="41"/>
      <c r="J10" s="42" t="str">
        <f t="shared" si="0"/>
        <v/>
      </c>
      <c r="K10" s="96"/>
      <c r="L10" s="44"/>
      <c r="M10" s="45"/>
    </row>
    <row r="11" spans="1:13" ht="12.75" customHeight="1" x14ac:dyDescent="0.2">
      <c r="A11" s="117" t="s">
        <v>16</v>
      </c>
      <c r="B11" s="46">
        <v>0.375</v>
      </c>
      <c r="C11" s="47"/>
      <c r="D11" s="47"/>
      <c r="E11" s="47">
        <v>0.41666666666666669</v>
      </c>
      <c r="F11" s="47"/>
      <c r="G11" s="47"/>
      <c r="H11" s="66">
        <v>7.25</v>
      </c>
      <c r="I11" s="42"/>
      <c r="J11" s="48" t="str">
        <f t="shared" si="0"/>
        <v/>
      </c>
      <c r="K11" s="97">
        <v>8.25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 You're over 8 hours and have entered time off. Are you sure?</v>
      </c>
      <c r="M11" s="50"/>
    </row>
    <row r="12" spans="1:13" s="17" customFormat="1" ht="12.75" customHeight="1" x14ac:dyDescent="0.2">
      <c r="A12" s="118" t="s">
        <v>1</v>
      </c>
      <c r="B12" s="38"/>
      <c r="C12" s="39"/>
      <c r="D12" s="39"/>
      <c r="E12" s="39"/>
      <c r="F12" s="39"/>
      <c r="G12" s="39"/>
      <c r="H12" s="40"/>
      <c r="I12" s="41"/>
      <c r="J12" s="48" t="str">
        <f t="shared" si="0"/>
        <v/>
      </c>
      <c r="K12" s="96"/>
      <c r="L12" s="44"/>
      <c r="M12" s="45"/>
    </row>
    <row r="13" spans="1:13" ht="12.75" customHeight="1" x14ac:dyDescent="0.2">
      <c r="A13" s="116"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119"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38.25"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Total time off used</v>
      </c>
      <c r="H17" s="11" t="str">
        <f>IF((G17=""),"",CONCATENATE(SUM(H3:H11)," hours"))</f>
        <v>15.25 hours</v>
      </c>
      <c r="I17" s="7"/>
      <c r="J17" s="7"/>
      <c r="K17" s="4" t="str">
        <f>IF(SUM(H3:H13)&gt;=(B1*0.8),"Vacation week, huh?","")</f>
        <v/>
      </c>
      <c r="L17" s="5"/>
    </row>
    <row r="18" spans="1:12" x14ac:dyDescent="0.2">
      <c r="B18" s="74"/>
      <c r="C18" s="8"/>
      <c r="D18" s="8"/>
      <c r="E18" s="8"/>
      <c r="G18" s="22" t="str">
        <f>IF(G17="","","Comp")</f>
        <v>Comp</v>
      </c>
      <c r="H18" s="23" t="str">
        <f>IF(G18="","",IF(SUMIF(I3:I14,"comp",H3:H14)=0,"none",SUMIF(I3:I14,"comp",H3:H14)))</f>
        <v>none</v>
      </c>
      <c r="K18" s="4" t="str">
        <f>IF(OR(K15=0,K15&gt;=B1),"",IF(ISBLANK(B11)=FALSE,"",CONCATENATE("On track for ~", ((COUNTBLANK(K3:K11)-4)*MROUND(AVERAGE(K3:K11),0.25))+K15," hrs. total")))</f>
        <v/>
      </c>
      <c r="L18" s="29"/>
    </row>
    <row r="19" spans="1:12" ht="12.75" customHeight="1" x14ac:dyDescent="0.2">
      <c r="A19" s="107" t="str">
        <f>IF(K15&gt;=B1,"",IF(AND(COUNTIF(K3:K11,"&gt;=4")=4,COUNTIF(B9:B12,"&gt;0")&gt;2),CONCATENATE("Trying to hit ",B1," hours exactly? Estimate your final punch below"),""))</f>
        <v/>
      </c>
      <c r="B19" s="108"/>
      <c r="C19" s="108"/>
      <c r="D19" s="89"/>
      <c r="G19" s="22" t="str">
        <f>IF(G17="","","PTO")</f>
        <v>PTO</v>
      </c>
      <c r="H19" s="23" t="str">
        <f>IF(G19="","",IF(SUMIF(I3:I14,"pto",H3:H14)=0,"none",SUMIF(I3:I14,"pto",H3:H14)))</f>
        <v>none</v>
      </c>
      <c r="K19" s="4"/>
      <c r="L19" s="5"/>
    </row>
    <row r="20" spans="1:12" ht="12.75" customHeight="1" x14ac:dyDescent="0.2">
      <c r="G20" s="22" t="str">
        <f>IF(G17="","","Catastrophic")</f>
        <v>Catastrophic</v>
      </c>
      <c r="H20" s="23" t="str">
        <f>IF(G20="","",IF(SUMIF(I3:I14,"cat",H3:H14)=0,"none",SUMIF(I3:I14,"cat",H3:H14)))</f>
        <v>none</v>
      </c>
      <c r="K20" s="4"/>
      <c r="L20" s="5"/>
    </row>
    <row r="21" spans="1:12" ht="12.75" customHeight="1" x14ac:dyDescent="0.2">
      <c r="A21" s="1"/>
      <c r="B21" s="3"/>
      <c r="G21" s="22"/>
      <c r="H21" s="28"/>
      <c r="I21" s="23"/>
      <c r="K21" s="4"/>
      <c r="L21" s="5"/>
    </row>
    <row r="22" spans="1:12" ht="12.75" customHeight="1" x14ac:dyDescent="0.2">
      <c r="A22" s="1"/>
      <c r="B22" s="3"/>
      <c r="K22" s="4"/>
      <c r="L22" s="5"/>
    </row>
    <row r="23" spans="1:12" ht="12.75" customHeight="1" x14ac:dyDescent="0.2">
      <c r="A23" s="1"/>
      <c r="B23" s="20"/>
      <c r="C23" s="109"/>
      <c r="D23" s="110"/>
      <c r="E23" s="110"/>
      <c r="F23" s="110"/>
      <c r="G23" s="110"/>
      <c r="H23" s="110"/>
      <c r="I23" s="110"/>
      <c r="J23" s="90"/>
      <c r="K23" s="4"/>
      <c r="L23" s="5"/>
    </row>
    <row r="24" spans="1:12" ht="12.75" customHeight="1" x14ac:dyDescent="0.2">
      <c r="A24" s="1"/>
      <c r="B24" s="13"/>
      <c r="C24" s="109"/>
      <c r="D24" s="110"/>
      <c r="E24" s="110"/>
      <c r="F24" s="110"/>
      <c r="K24" s="4"/>
      <c r="L24" s="5"/>
    </row>
    <row r="25" spans="1:12" ht="12.75" customHeight="1" x14ac:dyDescent="0.2">
      <c r="K25" s="4"/>
      <c r="L25" s="5"/>
    </row>
    <row r="26" spans="1:12" ht="12.75" customHeight="1" x14ac:dyDescent="0.2">
      <c r="K26" s="4"/>
      <c r="L26" s="5"/>
    </row>
    <row r="27" spans="1:12" ht="29.25" customHeight="1" x14ac:dyDescent="0.2">
      <c r="A27" s="14"/>
      <c r="B27" s="106"/>
      <c r="C27" s="106"/>
      <c r="D27" s="106"/>
      <c r="E27" s="106"/>
      <c r="F27" s="106"/>
      <c r="G27" s="111"/>
      <c r="H27" s="111"/>
      <c r="K27" s="4"/>
      <c r="L27" s="5"/>
    </row>
    <row r="28" spans="1:12" ht="28.5" customHeight="1" x14ac:dyDescent="0.2">
      <c r="B28" s="112"/>
      <c r="C28" s="112"/>
      <c r="D28" s="112"/>
      <c r="E28" s="112"/>
      <c r="F28" s="112"/>
      <c r="G28" s="112"/>
      <c r="H28" s="112"/>
      <c r="K28" s="4"/>
      <c r="L28" s="5"/>
    </row>
    <row r="29" spans="1:12" ht="41.25" customHeight="1" x14ac:dyDescent="0.2">
      <c r="B29" s="106"/>
      <c r="C29" s="106"/>
      <c r="D29" s="106"/>
      <c r="E29" s="106"/>
      <c r="F29" s="106"/>
      <c r="G29" s="106"/>
      <c r="H29" s="106"/>
      <c r="K29" s="4"/>
      <c r="L29" s="5"/>
    </row>
    <row r="30" spans="1:12" ht="29.25" customHeight="1" x14ac:dyDescent="0.2">
      <c r="B30" s="106"/>
      <c r="C30" s="106"/>
      <c r="D30" s="106"/>
      <c r="E30" s="106"/>
      <c r="F30" s="106"/>
      <c r="G30" s="106"/>
      <c r="H30" s="106"/>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42" priority="9" stopIfTrue="1" operator="notEqual">
      <formula>""</formula>
    </cfRule>
  </conditionalFormatting>
  <conditionalFormatting sqref="A24:B24">
    <cfRule type="cellIs" dxfId="41" priority="8" stopIfTrue="1" operator="notEqual">
      <formula>""</formula>
    </cfRule>
  </conditionalFormatting>
  <conditionalFormatting sqref="H3:I12">
    <cfRule type="containsBlanks" dxfId="40" priority="10" stopIfTrue="1">
      <formula>LEN(TRIM(H3))=0</formula>
    </cfRule>
  </conditionalFormatting>
  <conditionalFormatting sqref="B3:C3 E3:G3 B4:G4 B6:G12 B5 D5:G5">
    <cfRule type="containsBlanks" dxfId="39" priority="7" stopIfTrue="1">
      <formula>LEN(TRIM(B3))=0</formula>
    </cfRule>
  </conditionalFormatting>
  <conditionalFormatting sqref="D3">
    <cfRule type="containsBlanks" dxfId="38" priority="6" stopIfTrue="1">
      <formula>LEN(TRIM(D3))=0</formula>
    </cfRule>
  </conditionalFormatting>
  <conditionalFormatting sqref="H14:I14">
    <cfRule type="containsBlanks" dxfId="37" priority="5" stopIfTrue="1">
      <formula>LEN(TRIM(H14))=0</formula>
    </cfRule>
  </conditionalFormatting>
  <conditionalFormatting sqref="B14:G14">
    <cfRule type="containsBlanks" dxfId="36" priority="4" stopIfTrue="1">
      <formula>LEN(TRIM(B14))=0</formula>
    </cfRule>
  </conditionalFormatting>
  <conditionalFormatting sqref="H13:I13">
    <cfRule type="containsBlanks" dxfId="35" priority="3" stopIfTrue="1">
      <formula>LEN(TRIM(H13))=0</formula>
    </cfRule>
  </conditionalFormatting>
  <conditionalFormatting sqref="B13:G13">
    <cfRule type="containsBlanks" dxfId="34" priority="2" stopIfTrue="1">
      <formula>LEN(TRIM(B13))=0</formula>
    </cfRule>
  </conditionalFormatting>
  <conditionalFormatting sqref="C5">
    <cfRule type="containsBlanks" dxfId="33"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35">
        <v>10.75</v>
      </c>
      <c r="L3" s="3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v>4.75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v>10</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v>7.25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v>7.25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x14ac:dyDescent="0.2">
      <c r="A13" s="10" t="s">
        <v>9</v>
      </c>
      <c r="B13" s="46"/>
      <c r="C13" s="47"/>
      <c r="D13" s="47"/>
      <c r="E13" s="47"/>
      <c r="F13" s="47"/>
      <c r="G13" s="47"/>
      <c r="H13" s="66"/>
      <c r="I13" s="42"/>
      <c r="J13" s="48" t="str">
        <f t="shared" si="0"/>
        <v/>
      </c>
      <c r="K13" s="49">
        <v>7.25</v>
      </c>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56"/>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47.25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10.875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7" t="str">
        <f>IF(K15&gt;=B1,"",IF(AND(COUNTIF(K3:K11,"&gt;=4")=4,COUNTIF(B9:B12,"&gt;0")&gt;2),CONCATENATE("Trying to hit ",B1," hours exactly? Estimate your final punch below"),""))</f>
        <v/>
      </c>
      <c r="B19" s="108"/>
      <c r="C19" s="108"/>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9" t="str">
        <f>IF((A23=""),"",IF(AND((ISBLANK(D11)=FALSE),(ISBLANK(C11)=FALSE)),"You've already entered in lunch punches for today. I'll use those numbers.","&lt;--- Enter today's lunch time as a decimal (e.g. 45 minutes would be .75). Entering nothing will default to 1 hour. You can enter 0 for no lunch."))</f>
        <v/>
      </c>
      <c r="D23" s="110"/>
      <c r="E23" s="110"/>
      <c r="F23" s="110"/>
      <c r="G23" s="110"/>
      <c r="H23" s="110"/>
      <c r="I23" s="110"/>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9" t="str">
        <f>IF((A24=""),"",IF((COUNTA(B11:D11)=2),"Looks like you've got only one lunch punch. Enter another to calculate",""))</f>
        <v/>
      </c>
      <c r="D24" s="110"/>
      <c r="E24" s="110"/>
      <c r="F24" s="110"/>
      <c r="K24" s="4"/>
      <c r="L24" s="5"/>
    </row>
    <row r="25" spans="1:12" ht="12.75" customHeight="1" x14ac:dyDescent="0.2">
      <c r="K25" s="4"/>
      <c r="L25" s="5"/>
    </row>
    <row r="26" spans="1:12" ht="12.75" customHeight="1" x14ac:dyDescent="0.2">
      <c r="K26" s="4"/>
      <c r="L26" s="5"/>
    </row>
    <row r="27" spans="1:12" ht="29.25" customHeight="1" x14ac:dyDescent="0.2">
      <c r="A27" s="14" t="s">
        <v>3</v>
      </c>
      <c r="B27" s="106" t="s">
        <v>6</v>
      </c>
      <c r="C27" s="106"/>
      <c r="D27" s="106"/>
      <c r="E27" s="106"/>
      <c r="F27" s="106"/>
      <c r="G27" s="111"/>
      <c r="H27" s="111"/>
      <c r="K27" s="4"/>
      <c r="L27" s="5"/>
    </row>
    <row r="28" spans="1:12" ht="28.5" customHeight="1" x14ac:dyDescent="0.2">
      <c r="B28" s="112" t="s">
        <v>19</v>
      </c>
      <c r="C28" s="112"/>
      <c r="D28" s="112"/>
      <c r="E28" s="112"/>
      <c r="F28" s="112"/>
      <c r="G28" s="112"/>
      <c r="H28" s="112"/>
      <c r="K28" s="4"/>
      <c r="L28" s="5"/>
    </row>
    <row r="29" spans="1:12" ht="41.25" customHeight="1" x14ac:dyDescent="0.2">
      <c r="B29" s="106" t="s">
        <v>75</v>
      </c>
      <c r="C29" s="106"/>
      <c r="D29" s="106"/>
      <c r="E29" s="106"/>
      <c r="F29" s="106"/>
      <c r="G29" s="106"/>
      <c r="H29" s="106"/>
      <c r="K29" s="4"/>
      <c r="L29" s="5"/>
    </row>
    <row r="30" spans="1:12" ht="29.25" customHeight="1" x14ac:dyDescent="0.2">
      <c r="B30" s="106" t="s">
        <v>17</v>
      </c>
      <c r="C30" s="106"/>
      <c r="D30" s="106"/>
      <c r="E30" s="106"/>
      <c r="F30" s="106"/>
      <c r="G30" s="106"/>
      <c r="H30" s="106"/>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32" priority="8" stopIfTrue="1" operator="notEqual">
      <formula>""</formula>
    </cfRule>
  </conditionalFormatting>
  <conditionalFormatting sqref="A24:B24">
    <cfRule type="cellIs" dxfId="31" priority="7" stopIfTrue="1" operator="notEqual">
      <formula>""</formula>
    </cfRule>
  </conditionalFormatting>
  <conditionalFormatting sqref="H3:I12">
    <cfRule type="containsBlanks" dxfId="30" priority="9" stopIfTrue="1">
      <formula>LEN(TRIM(H3))=0</formula>
    </cfRule>
  </conditionalFormatting>
  <conditionalFormatting sqref="B3:C3 E3:G3 B4:G12">
    <cfRule type="containsBlanks" dxfId="29" priority="6" stopIfTrue="1">
      <formula>LEN(TRIM(B3))=0</formula>
    </cfRule>
  </conditionalFormatting>
  <conditionalFormatting sqref="D3">
    <cfRule type="containsBlanks" dxfId="28" priority="5" stopIfTrue="1">
      <formula>LEN(TRIM(D3))=0</formula>
    </cfRule>
  </conditionalFormatting>
  <conditionalFormatting sqref="H14:I14">
    <cfRule type="containsBlanks" dxfId="27" priority="4" stopIfTrue="1">
      <formula>LEN(TRIM(H14))=0</formula>
    </cfRule>
  </conditionalFormatting>
  <conditionalFormatting sqref="B14:G14">
    <cfRule type="containsBlanks" dxfId="26" priority="3" stopIfTrue="1">
      <formula>LEN(TRIM(B14))=0</formula>
    </cfRule>
  </conditionalFormatting>
  <conditionalFormatting sqref="H13:I13">
    <cfRule type="containsBlanks" dxfId="25" priority="2" stopIfTrue="1">
      <formula>LEN(TRIM(H13))=0</formula>
    </cfRule>
  </conditionalFormatting>
  <conditionalFormatting sqref="B13:G13">
    <cfRule type="containsBlanks" dxfId="24"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103"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v>0.34583333333333333</v>
      </c>
      <c r="C3" s="31">
        <v>0.50555555555555554</v>
      </c>
      <c r="D3" s="31">
        <v>0.53472222222222221</v>
      </c>
      <c r="E3" s="31">
        <v>0.70347222222222228</v>
      </c>
      <c r="F3" s="31"/>
      <c r="G3" s="75"/>
      <c r="H3" s="32"/>
      <c r="I3" s="33"/>
      <c r="J3" s="34" t="str">
        <f>IF(OR(I3="comp",I3="cat",I3="pto",I3=""),"",I3)</f>
        <v/>
      </c>
      <c r="K3" s="95">
        <v>8.25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v>0.33833333333333332</v>
      </c>
      <c r="C5" s="47"/>
      <c r="D5" s="47"/>
      <c r="E5" s="47">
        <v>0.45416666666666666</v>
      </c>
      <c r="F5" s="82"/>
      <c r="G5" s="47"/>
      <c r="H5" s="40"/>
      <c r="I5" s="42"/>
      <c r="J5" s="48" t="str">
        <f t="shared" si="0"/>
        <v/>
      </c>
      <c r="K5" s="97">
        <v>3</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11.25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28.75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On track for ~28.5 hrs. total</v>
      </c>
      <c r="L18" s="29"/>
    </row>
    <row r="19" spans="1:12" ht="12.75" customHeight="1" x14ac:dyDescent="0.2">
      <c r="A19" s="107" t="str">
        <f>IF(K15&gt;=B1,"",IF(AND(COUNTIF(K3:K11,"&gt;=4")=4,COUNTIF(B9:B12,"&gt;0")&gt;2),CONCATENATE("Trying to hit ",B1," hours exactly? Estimate your final punch below"),""))</f>
        <v/>
      </c>
      <c r="B19" s="108"/>
      <c r="C19" s="108"/>
      <c r="D19" s="104"/>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9" t="str">
        <f>IF((A23=""),"",IF(AND((ISBLANK(D11)=FALSE),(ISBLANK(C11)=FALSE)),"You've already entered in lunch punches for today. I'll use those numbers.","&lt;--- Enter today's lunch time as a decimal (e.g. 45 minutes would be .75). Entering nothing will default to 1 hour. You can enter 0 for no lunch."))</f>
        <v/>
      </c>
      <c r="D23" s="110"/>
      <c r="E23" s="110"/>
      <c r="F23" s="110"/>
      <c r="G23" s="110"/>
      <c r="H23" s="110"/>
      <c r="I23" s="110"/>
      <c r="J23" s="105"/>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9" t="str">
        <f>IF((A24=""),"",IF((COUNTA(B11:D11)=2),"Looks like you've got only one lunch punch. Enter another to calculate",""))</f>
        <v/>
      </c>
      <c r="D24" s="110"/>
      <c r="E24" s="110"/>
      <c r="F24" s="110"/>
      <c r="K24" s="4"/>
      <c r="L24" s="5"/>
    </row>
    <row r="25" spans="1:12" ht="12.75" customHeight="1" x14ac:dyDescent="0.2">
      <c r="K25" s="4"/>
      <c r="L25" s="5"/>
    </row>
    <row r="26" spans="1:12" ht="12.75" customHeight="1" x14ac:dyDescent="0.2">
      <c r="K26" s="4"/>
      <c r="L26" s="5"/>
    </row>
    <row r="27" spans="1:12" ht="29.25" customHeight="1" x14ac:dyDescent="0.2">
      <c r="A27" s="14" t="s">
        <v>3</v>
      </c>
      <c r="B27" s="106" t="s">
        <v>6</v>
      </c>
      <c r="C27" s="106"/>
      <c r="D27" s="106"/>
      <c r="E27" s="106"/>
      <c r="F27" s="106"/>
      <c r="G27" s="111"/>
      <c r="H27" s="111"/>
      <c r="K27" s="4"/>
      <c r="L27" s="5"/>
    </row>
    <row r="28" spans="1:12" ht="28.5" customHeight="1" x14ac:dyDescent="0.2">
      <c r="B28" s="112" t="s">
        <v>19</v>
      </c>
      <c r="C28" s="112"/>
      <c r="D28" s="112"/>
      <c r="E28" s="112"/>
      <c r="F28" s="112"/>
      <c r="G28" s="112"/>
      <c r="H28" s="112"/>
      <c r="K28" s="4"/>
      <c r="L28" s="5"/>
    </row>
    <row r="29" spans="1:12" ht="41.25" customHeight="1" x14ac:dyDescent="0.2">
      <c r="B29" s="106" t="s">
        <v>75</v>
      </c>
      <c r="C29" s="106"/>
      <c r="D29" s="106"/>
      <c r="E29" s="106"/>
      <c r="F29" s="106"/>
      <c r="G29" s="106"/>
      <c r="H29" s="106"/>
      <c r="K29" s="4"/>
      <c r="L29" s="5"/>
    </row>
    <row r="30" spans="1:12" ht="29.25" customHeight="1" x14ac:dyDescent="0.2">
      <c r="B30" s="106" t="s">
        <v>17</v>
      </c>
      <c r="C30" s="106"/>
      <c r="D30" s="106"/>
      <c r="E30" s="106"/>
      <c r="F30" s="106"/>
      <c r="G30" s="106"/>
      <c r="H30" s="106"/>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23" priority="9" stopIfTrue="1" operator="notEqual">
      <formula>""</formula>
    </cfRule>
  </conditionalFormatting>
  <conditionalFormatting sqref="A24:B24">
    <cfRule type="cellIs" dxfId="22" priority="8" stopIfTrue="1" operator="notEqual">
      <formula>""</formula>
    </cfRule>
  </conditionalFormatting>
  <conditionalFormatting sqref="H3:I12">
    <cfRule type="containsBlanks" dxfId="21" priority="10" stopIfTrue="1">
      <formula>LEN(TRIM(H3))=0</formula>
    </cfRule>
  </conditionalFormatting>
  <conditionalFormatting sqref="B3:C3 E3:G3 B4:G4 B6:G12 B5 D5:G5">
    <cfRule type="containsBlanks" dxfId="20" priority="7" stopIfTrue="1">
      <formula>LEN(TRIM(B3))=0</formula>
    </cfRule>
  </conditionalFormatting>
  <conditionalFormatting sqref="D3">
    <cfRule type="containsBlanks" dxfId="19" priority="6" stopIfTrue="1">
      <formula>LEN(TRIM(D3))=0</formula>
    </cfRule>
  </conditionalFormatting>
  <conditionalFormatting sqref="H14:I14">
    <cfRule type="containsBlanks" dxfId="18" priority="5" stopIfTrue="1">
      <formula>LEN(TRIM(H14))=0</formula>
    </cfRule>
  </conditionalFormatting>
  <conditionalFormatting sqref="B14:G14">
    <cfRule type="containsBlanks" dxfId="17" priority="4" stopIfTrue="1">
      <formula>LEN(TRIM(B14))=0</formula>
    </cfRule>
  </conditionalFormatting>
  <conditionalFormatting sqref="H13:I13">
    <cfRule type="containsBlanks" dxfId="16" priority="3" stopIfTrue="1">
      <formula>LEN(TRIM(H13))=0</formula>
    </cfRule>
  </conditionalFormatting>
  <conditionalFormatting sqref="B13:G13">
    <cfRule type="containsBlanks" dxfId="15" priority="2" stopIfTrue="1">
      <formula>LEN(TRIM(B13))=0</formula>
    </cfRule>
  </conditionalFormatting>
  <conditionalFormatting sqref="C5">
    <cfRule type="containsBlanks" dxfId="14"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7" t="str">
        <f>IF(K15&gt;=B1,"",IF(AND(COUNTIF(K3:K11,"&gt;=4")=4,COUNTIF(B9:B12,"&gt;0")&gt;2),CONCATENATE("Trying to hit ",B1," hours exactly? Estimate your final punch below"),""))</f>
        <v>Trying to hit 40 hours exactly? Estimate your final punch below</v>
      </c>
      <c r="B19" s="108"/>
      <c r="C19" s="108"/>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09"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10"/>
      <c r="E23" s="110"/>
      <c r="F23" s="110"/>
      <c r="G23" s="110"/>
      <c r="H23" s="110"/>
      <c r="I23" s="110"/>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09" t="str">
        <f>IF((A24=""),"",IF((COUNTA(B11:D11)=2),"Looks like you've got only one lunch punch. Enter another to calculate",""))</f>
        <v/>
      </c>
      <c r="D24" s="110"/>
      <c r="E24" s="110"/>
      <c r="F24" s="110"/>
      <c r="K24" s="4"/>
      <c r="L24" s="5"/>
    </row>
    <row r="25" spans="1:12" ht="12.75" customHeight="1" x14ac:dyDescent="0.2">
      <c r="K25" s="4"/>
      <c r="L25" s="5"/>
    </row>
    <row r="26" spans="1:12" ht="12.75" customHeight="1" x14ac:dyDescent="0.2">
      <c r="K26" s="4"/>
      <c r="L26" s="5"/>
    </row>
    <row r="27" spans="1:12" ht="29.25" customHeight="1" x14ac:dyDescent="0.2">
      <c r="A27" s="14" t="s">
        <v>3</v>
      </c>
      <c r="B27" s="106" t="s">
        <v>6</v>
      </c>
      <c r="C27" s="106"/>
      <c r="D27" s="106"/>
      <c r="E27" s="106"/>
      <c r="F27" s="106"/>
      <c r="G27" s="111"/>
      <c r="H27" s="111"/>
      <c r="K27" s="4"/>
      <c r="L27" s="5"/>
    </row>
    <row r="28" spans="1:12" ht="28.5" customHeight="1" x14ac:dyDescent="0.2">
      <c r="B28" s="112" t="s">
        <v>19</v>
      </c>
      <c r="C28" s="112"/>
      <c r="D28" s="112"/>
      <c r="E28" s="112"/>
      <c r="F28" s="112"/>
      <c r="G28" s="112"/>
      <c r="H28" s="112"/>
      <c r="K28" s="4"/>
      <c r="L28" s="5"/>
    </row>
    <row r="29" spans="1:12" ht="41.25" customHeight="1" x14ac:dyDescent="0.2">
      <c r="B29" s="106" t="s">
        <v>5</v>
      </c>
      <c r="C29" s="106"/>
      <c r="D29" s="106"/>
      <c r="E29" s="106"/>
      <c r="F29" s="106"/>
      <c r="G29" s="106"/>
      <c r="H29" s="106"/>
      <c r="K29" s="4"/>
      <c r="L29" s="5"/>
    </row>
    <row r="30" spans="1:12" ht="29.25" customHeight="1" x14ac:dyDescent="0.2">
      <c r="B30" s="106" t="s">
        <v>17</v>
      </c>
      <c r="C30" s="106"/>
      <c r="D30" s="106"/>
      <c r="E30" s="106"/>
      <c r="F30" s="106"/>
      <c r="G30" s="106"/>
      <c r="H30" s="106"/>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13" priority="3" stopIfTrue="1" operator="notEqual">
      <formula>""</formula>
    </cfRule>
  </conditionalFormatting>
  <conditionalFormatting sqref="A24:B24">
    <cfRule type="cellIs" dxfId="12" priority="2" stopIfTrue="1" operator="notEqual">
      <formula>""</formula>
    </cfRule>
  </conditionalFormatting>
  <conditionalFormatting sqref="H3:I13">
    <cfRule type="containsBlanks" dxfId="11" priority="4" stopIfTrue="1">
      <formula>LEN(TRIM(H3))=0</formula>
    </cfRule>
  </conditionalFormatting>
  <conditionalFormatting sqref="B3:G13">
    <cfRule type="containsBlanks" dxfId="1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M200"/>
  <sheetViews>
    <sheetView zoomScale="115" zoomScaleNormal="115" workbookViewId="0">
      <selection activeCell="G2" sqref="G2"/>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9"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9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c r="I5" s="42"/>
      <c r="J5" s="48" t="str">
        <f t="shared" si="0"/>
        <v/>
      </c>
      <c r="K5" s="97"/>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7" t="str">
        <f>IF(K15&gt;=B1,"",IF(AND(COUNTIF(K3:K11,"&gt;=4")=4,COUNTIF(B9:B12,"&gt;0")&gt;2),CONCATENATE("Trying to hit ",B1," hours exactly? Estimate your final punch below"),""))</f>
        <v/>
      </c>
      <c r="B19" s="108"/>
      <c r="C19" s="108"/>
      <c r="D19" s="100"/>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9" t="str">
        <f>IF((A23=""),"",IF(AND((ISBLANK(D11)=FALSE),(ISBLANK(C11)=FALSE)),"You've already entered in lunch punches for today. I'll use those numbers.","&lt;--- Enter today's lunch time as a decimal (e.g. 45 minutes would be .75). Entering nothing will default to 1 hour. You can enter 0 for no lunch."))</f>
        <v/>
      </c>
      <c r="D23" s="110"/>
      <c r="E23" s="110"/>
      <c r="F23" s="110"/>
      <c r="G23" s="110"/>
      <c r="H23" s="110"/>
      <c r="I23" s="110"/>
      <c r="J23" s="101"/>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9" t="str">
        <f>IF((A24=""),"",IF((COUNTA(B11:D11)=2),"Looks like you've got only one lunch punch. Enter another to calculate",""))</f>
        <v/>
      </c>
      <c r="D24" s="110"/>
      <c r="E24" s="110"/>
      <c r="F24" s="110"/>
      <c r="K24" s="4"/>
      <c r="L24" s="5"/>
    </row>
    <row r="25" spans="1:12" ht="12.75" customHeight="1" x14ac:dyDescent="0.2">
      <c r="K25" s="4"/>
      <c r="L25" s="5"/>
    </row>
    <row r="26" spans="1:12" ht="12.75" customHeight="1" x14ac:dyDescent="0.2">
      <c r="K26" s="4"/>
      <c r="L26" s="5"/>
    </row>
    <row r="27" spans="1:12" ht="29.25" customHeight="1" x14ac:dyDescent="0.2">
      <c r="A27" s="14" t="s">
        <v>3</v>
      </c>
      <c r="B27" s="106" t="s">
        <v>6</v>
      </c>
      <c r="C27" s="106"/>
      <c r="D27" s="106"/>
      <c r="E27" s="106"/>
      <c r="F27" s="106"/>
      <c r="G27" s="111"/>
      <c r="H27" s="111"/>
      <c r="K27" s="4"/>
      <c r="L27" s="5"/>
    </row>
    <row r="28" spans="1:12" ht="28.5" customHeight="1" x14ac:dyDescent="0.2">
      <c r="B28" s="112" t="s">
        <v>19</v>
      </c>
      <c r="C28" s="112"/>
      <c r="D28" s="112"/>
      <c r="E28" s="112"/>
      <c r="F28" s="112"/>
      <c r="G28" s="112"/>
      <c r="H28" s="112"/>
      <c r="K28" s="4"/>
      <c r="L28" s="5"/>
    </row>
    <row r="29" spans="1:12" ht="41.25" customHeight="1" x14ac:dyDescent="0.2">
      <c r="B29" s="106" t="s">
        <v>75</v>
      </c>
      <c r="C29" s="106"/>
      <c r="D29" s="106"/>
      <c r="E29" s="106"/>
      <c r="F29" s="106"/>
      <c r="G29" s="106"/>
      <c r="H29" s="106"/>
      <c r="K29" s="4"/>
      <c r="L29" s="5"/>
    </row>
    <row r="30" spans="1:12" ht="29.25" customHeight="1" x14ac:dyDescent="0.2">
      <c r="B30" s="106" t="s">
        <v>17</v>
      </c>
      <c r="C30" s="106"/>
      <c r="D30" s="106"/>
      <c r="E30" s="106"/>
      <c r="F30" s="106"/>
      <c r="G30" s="106"/>
      <c r="H30" s="106"/>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18913"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18914"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18915"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18916"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18917"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13" sqref="A13"/>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workbookViewId="0">
      <selection activeCell="N3" sqref="N3:N10"/>
    </sheetView>
  </sheetViews>
  <sheetFormatPr defaultRowHeight="12.75" x14ac:dyDescent="0.2"/>
  <cols>
    <col min="1" max="1" width="5.7109375" customWidth="1"/>
  </cols>
  <sheetData>
    <row r="1" spans="1:18" x14ac:dyDescent="0.2">
      <c r="A1" s="113" t="s">
        <v>28</v>
      </c>
      <c r="B1" s="113"/>
      <c r="C1" s="113"/>
      <c r="D1" s="113"/>
      <c r="E1" s="113"/>
      <c r="N1" s="114" t="s">
        <v>41</v>
      </c>
      <c r="O1" s="114"/>
      <c r="P1" s="114"/>
      <c r="Q1" s="114"/>
      <c r="R1" s="114"/>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94</v>
      </c>
    </row>
    <row r="52" spans="1:2" x14ac:dyDescent="0.2">
      <c r="B52" t="s">
        <v>92</v>
      </c>
    </row>
    <row r="54" spans="1:2" x14ac:dyDescent="0.2">
      <c r="A54" s="70" t="s">
        <v>93</v>
      </c>
    </row>
    <row r="55" spans="1:2" x14ac:dyDescent="0.2">
      <c r="A55" t="s">
        <v>88</v>
      </c>
      <c r="B55" t="s">
        <v>89</v>
      </c>
    </row>
    <row r="56" spans="1:2" x14ac:dyDescent="0.2">
      <c r="A56" t="s">
        <v>88</v>
      </c>
      <c r="B56" t="s">
        <v>90</v>
      </c>
    </row>
    <row r="57" spans="1:2" x14ac:dyDescent="0.2">
      <c r="A57" t="s">
        <v>88</v>
      </c>
      <c r="B57" t="s">
        <v>91</v>
      </c>
    </row>
    <row r="58" spans="1:2" x14ac:dyDescent="0.2">
      <c r="B58" t="s">
        <v>95</v>
      </c>
    </row>
    <row r="59" spans="1:2" x14ac:dyDescent="0.2">
      <c r="B59" t="s">
        <v>96</v>
      </c>
    </row>
    <row r="60" spans="1:2" x14ac:dyDescent="0.2">
      <c r="B60" t="s">
        <v>98</v>
      </c>
    </row>
    <row r="61" spans="1:2" x14ac:dyDescent="0.2">
      <c r="A61" t="s">
        <v>88</v>
      </c>
      <c r="B61" t="s">
        <v>99</v>
      </c>
    </row>
    <row r="62" spans="1:2" x14ac:dyDescent="0.2">
      <c r="A62" t="s">
        <v>88</v>
      </c>
      <c r="B62" t="s">
        <v>100</v>
      </c>
    </row>
    <row r="63" spans="1:2" x14ac:dyDescent="0.2">
      <c r="B63" t="s">
        <v>101</v>
      </c>
    </row>
    <row r="64" spans="1:2" x14ac:dyDescent="0.2">
      <c r="B64" t="s">
        <v>102</v>
      </c>
    </row>
    <row r="66" spans="1:2" x14ac:dyDescent="0.2">
      <c r="A66" s="70" t="s">
        <v>104</v>
      </c>
    </row>
    <row r="67" spans="1:2" x14ac:dyDescent="0.2">
      <c r="A67" s="70"/>
      <c r="B67" t="s">
        <v>103</v>
      </c>
    </row>
    <row r="68" spans="1:2" x14ac:dyDescent="0.2">
      <c r="B68" t="s">
        <v>105</v>
      </c>
    </row>
    <row r="69" spans="1:2" x14ac:dyDescent="0.2">
      <c r="B69" s="102" t="s">
        <v>106</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Example</vt:lpstr>
      <vt:lpstr>Supervisor Time Sheet Planner</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2013-07-01T16:11:09Z</dcterms:modified>
</cp:coreProperties>
</file>