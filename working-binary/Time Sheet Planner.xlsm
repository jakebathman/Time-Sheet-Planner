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D9" i="5" l="1"/>
  <c r="K12" i="1832" l="1"/>
  <c r="K10" i="1832"/>
  <c r="K13" i="1832" s="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H12" i="1832"/>
  <c r="G13" i="1832"/>
  <c r="H13" i="1832" s="1"/>
  <c r="G14" i="1832"/>
  <c r="H14" i="1832" s="1"/>
  <c r="A24" i="1836" l="1"/>
  <c r="C23" i="1836"/>
  <c r="C24" i="1836" l="1"/>
  <c r="B24" i="1836"/>
  <c r="D3" i="5" l="1"/>
  <c r="B7" i="5"/>
  <c r="K11" i="1832" l="1"/>
  <c r="K16" i="1836"/>
  <c r="L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<sst xmlns="http://schemas.openxmlformats.org/spreadsheetml/2006/main" count="198" uniqueCount="141">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</sst>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3"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13">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438150</xdr:colOff>
          <xdr:row>8</xdr:row>
          <xdr:rowOff>190500</xdr:rowOff>
        </xdr:from>
        <xdr:to>
          <xdr:col>2</xdr:col>
          <xdr:colOff>0</xdr:colOff>
          <xdr:row>10</xdr:row>
          <xdr:rowOff>38100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10</xdr:row>
          <xdr:rowOff>190500</xdr:rowOff>
        </xdr:from>
        <xdr:to>
          <xdr:col>2</xdr:col>
          <xdr:colOff>0</xdr:colOff>
          <xdr:row>12</xdr:row>
          <xdr:rowOff>38100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17</xdr:row>
          <xdr:rowOff>171450</xdr:rowOff>
        </xdr:from>
        <xdr:to>
          <xdr:col>2</xdr:col>
          <xdr:colOff>0</xdr:colOff>
          <xdr:row>19</xdr:row>
          <xdr:rowOff>28575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19</xdr:row>
          <xdr:rowOff>180975</xdr:rowOff>
        </xdr:from>
        <xdr:to>
          <xdr:col>2</xdr:col>
          <xdr:colOff>0</xdr:colOff>
          <xdr:row>21</xdr:row>
          <xdr:rowOff>28575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30</xdr:row>
          <xdr:rowOff>180975</xdr:rowOff>
        </xdr:from>
        <xdr:to>
          <xdr:col>1</xdr:col>
          <xdr:colOff>0</xdr:colOff>
          <xdr:row>32</xdr:row>
          <xdr:rowOff>28575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33</xdr:row>
          <xdr:rowOff>190500</xdr:rowOff>
        </xdr:from>
        <xdr:to>
          <xdr:col>1</xdr:col>
          <xdr:colOff>0</xdr:colOff>
          <xdr:row>35</xdr:row>
          <xdr:rowOff>38100</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180975</xdr:colOff>
          <xdr:row>2</xdr:row>
          <xdr:rowOff>9525</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8.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4.emf"/><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2.xml"/><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ht="12.75" customHeight="1"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ht="12.75" customHeight="1" x14ac:dyDescent="0.2">
      <c r="A4" s="87" t="s">
        <v>10</v>
      </c>
      <c r="B4" s="36"/>
      <c r="C4" s="37"/>
      <c r="D4" s="37"/>
      <c r="E4" s="37"/>
      <c r="F4" s="66"/>
      <c r="G4" s="37"/>
      <c r="H4" s="30"/>
      <c r="I4" s="32"/>
      <c r="J4" s="38" t="str">
        <f t="shared" ref="J4:J9" si="1">IF(OR(I4="comp",I4="cat",I4="pto",I4=""),"",I4)</f>
        <v/>
      </c>
      <c r="K4" s="79"/>
      <c r="L4" s="34" t="str">
        <f t="shared" si="0"/>
        <v/>
      </c>
      <c r="M4" s="40"/>
    </row>
    <row r="5" spans="1:13" ht="12.75" customHeight="1" x14ac:dyDescent="0.2">
      <c r="A5" s="87" t="s">
        <v>12</v>
      </c>
      <c r="B5" s="36"/>
      <c r="C5" s="37"/>
      <c r="D5" s="37"/>
      <c r="E5" s="37"/>
      <c r="F5" s="37"/>
      <c r="G5" s="37"/>
      <c r="H5" s="30"/>
      <c r="I5" s="32"/>
      <c r="J5" s="38" t="str">
        <f t="shared" si="1"/>
        <v/>
      </c>
      <c r="K5" s="79"/>
      <c r="L5" s="34" t="str">
        <f t="shared" si="0"/>
        <v/>
      </c>
      <c r="M5" s="40"/>
    </row>
    <row r="6" spans="1:13" ht="12.75" customHeight="1" x14ac:dyDescent="0.2">
      <c r="A6" s="87" t="s">
        <v>8</v>
      </c>
      <c r="B6" s="36"/>
      <c r="C6" s="37"/>
      <c r="D6" s="37"/>
      <c r="E6" s="37"/>
      <c r="F6" s="37"/>
      <c r="G6" s="37"/>
      <c r="H6" s="30"/>
      <c r="I6" s="32"/>
      <c r="J6" s="38" t="str">
        <f t="shared" si="1"/>
        <v/>
      </c>
      <c r="K6" s="79"/>
      <c r="L6" s="34" t="str">
        <f t="shared" si="0"/>
        <v/>
      </c>
      <c r="M6" s="40"/>
    </row>
    <row r="7" spans="1:13" ht="12.75" customHeight="1" x14ac:dyDescent="0.2">
      <c r="A7" s="87" t="s">
        <v>14</v>
      </c>
      <c r="B7" s="36"/>
      <c r="C7" s="37"/>
      <c r="D7" s="37"/>
      <c r="E7" s="37"/>
      <c r="F7" s="37"/>
      <c r="G7" s="37"/>
      <c r="H7" s="56"/>
      <c r="I7" s="32"/>
      <c r="J7" s="38" t="str">
        <f t="shared" si="1"/>
        <v/>
      </c>
      <c r="K7" s="79"/>
      <c r="L7" s="34" t="str">
        <f t="shared" si="0"/>
        <v/>
      </c>
      <c r="M7" s="40"/>
    </row>
    <row r="8" spans="1:13" ht="12.75" customHeight="1" x14ac:dyDescent="0.2">
      <c r="A8" s="86" t="s">
        <v>7</v>
      </c>
      <c r="B8" s="36"/>
      <c r="C8" s="37"/>
      <c r="D8" s="37"/>
      <c r="E8" s="37"/>
      <c r="F8" s="37"/>
      <c r="G8" s="37"/>
      <c r="H8" s="56"/>
      <c r="I8" s="32"/>
      <c r="J8" s="38" t="str">
        <f t="shared" si="1"/>
        <v/>
      </c>
      <c r="K8" s="79"/>
      <c r="L8" s="34" t="str">
        <f t="shared" si="0"/>
        <v/>
      </c>
      <c r="M8" s="40"/>
    </row>
    <row r="9" spans="1:13" s="11" customFormat="1" ht="12.75" customHeight="1"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G10" s="61"/>
      <c r="H10" s="5"/>
      <c r="I10" s="2"/>
      <c r="J10" s="2"/>
      <c r="K10" s="75">
        <f>SUM(K3:K9)</f>
        <v>0</v>
      </c>
      <c r="L10" s="2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76"/>
    </row>
    <row r="11" spans="1:13" ht="54.75" customHeight="1" x14ac:dyDescent="0.2">
      <c r="B11" s="6"/>
      <c r="C11" s="6"/>
      <c r="D11" s="6"/>
      <c r="E11" s="6"/>
      <c r="F11" s="6"/>
      <c r="G11" s="6"/>
      <c r="H11" s="5"/>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"),IF(AND((K10-B1)&gt;0,H12&gt;0, H12&lt;&gt;""),"Woah,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G12" s="1" t="str">
        <f>IF((SUM(H3:H9)=0),"","Total time off used")</f>
        <v/>
      </c>
      <c r="H12" s="8" t="str">
        <f>IF((G12=""),"",CONCATENATE(SUM(H3:H7)," hours"))</f>
        <v/>
      </c>
      <c r="I12" s="5"/>
      <c r="J12" s="5"/>
      <c r="K12" s="3" t="str">
        <f>IF(SUM(H3:H9)&gt;=(B1*0.8),"Vacation week, huh?","")</f>
        <v/>
      </c>
      <c r="L12" s="4"/>
    </row>
    <row r="13" spans="1:13" x14ac:dyDescent="0.2">
      <c r="B13" s="89"/>
      <c r="C13" s="6"/>
      <c r="D13" s="6"/>
      <c r="E13" s="6"/>
      <c r="F13" s="67"/>
      <c r="G13" s="90" t="str">
        <f>IF(G12="","","Comp")</f>
        <v/>
      </c>
      <c r="H13" s="15" t="str">
        <f>IF(G13="","",IF(SUMIF(I3:I9,"comp",H3:H9)=0,"none",SUMIF(I3:I9,"comp",H3:H9)))</f>
        <v/>
      </c>
      <c r="K13" s="3" t="str">
        <f>IF(OR(K10=0,K10&gt;=B1),"",IF(ISBLANK(B7)=FALSE,"",CONCATENATE("On track for ~", ((COUNTBLANK(K3:K7)-4)*MROUND(AVERAGE(K3:K7),0.25))+K10," hrs. total")))</f>
        <v/>
      </c>
      <c r="L13" s="19"/>
    </row>
    <row r="14" spans="1:13" x14ac:dyDescent="0.2">
      <c r="A14" s="91"/>
      <c r="B14" s="92"/>
      <c r="C14" s="92"/>
      <c r="D14" s="71"/>
      <c r="G14" s="14" t="str">
        <f>IF(G12="","","PTO")</f>
        <v/>
      </c>
      <c r="H14" s="15" t="str">
        <f>IF(G14="","",IF(SUMIF(I3:I9,"pto",H3:H9)=0,"none",SUMIF(I3:I9,"pto",H3:H9)))</f>
        <v/>
      </c>
      <c r="K14" s="3"/>
      <c r="L14" s="4"/>
    </row>
    <row r="15" spans="1:13" x14ac:dyDescent="0.2">
      <c r="B15" s="67"/>
      <c r="G15" s="14" t="str">
        <f>IF(G12="","","Catastrophic")</f>
        <v/>
      </c>
      <c r="H15" s="15" t="str">
        <f>IF(G15="","",IF(SUMIF(I3:I9,"cat",H3:H9)=0,"none",SUMIF(I3:I9,"cat",H3:H9)))</f>
        <v/>
      </c>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05" t="str">
        <f>IF(K15&gt;=B1,"",IF(AND(COUNTIF(K3:K11,"&gt;=4")=4,COUNTIF(B9:B12,"&gt;0")&gt;2),CONCATENATE("Trying to hit ",B1," hours exactly? Estimate your final punch below"),""))</f>
        <v/>
      </c>
      <c r="B19" s="106"/>
      <c r="C19" s="106"/>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7" t="str">
        <f>IF((A23=""),"",IF(AND((ISBLANK(D11)=FALSE),(ISBLANK(C11)=FALSE)),"You've already entered in lunch punches for today. I'll use those numbers.","&lt;--- Enter today's lunch time as a decimal (e.g. 45 minutes would be .75). Entering nothing will default to 1 hour. You can enter 0 for no lunch."))</f>
        <v/>
      </c>
      <c r="D23" s="108"/>
      <c r="E23" s="108"/>
      <c r="F23" s="108"/>
      <c r="G23" s="108"/>
      <c r="H23" s="108"/>
      <c r="I23" s="108"/>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7" t="str">
        <f>IF((A24=""),"",IF((COUNTA(B11:D11)=2),"Looks like you've got only one lunch punch. Enter another to calculate",""))</f>
        <v/>
      </c>
      <c r="D24" s="108"/>
      <c r="E24" s="108"/>
      <c r="F24" s="108"/>
      <c r="K24" s="3"/>
      <c r="L24" s="4"/>
    </row>
    <row r="25" spans="1:12" ht="12.75" customHeight="1" x14ac:dyDescent="0.2">
      <c r="K25" s="3"/>
      <c r="L25" s="4"/>
    </row>
    <row r="26" spans="1:12" ht="12.75" customHeight="1" x14ac:dyDescent="0.2">
      <c r="K26" s="3"/>
      <c r="L26" s="4"/>
    </row>
    <row r="27" spans="1:12" ht="29.25" customHeight="1" x14ac:dyDescent="0.2">
      <c r="A27" s="10" t="s">
        <v>3</v>
      </c>
      <c r="B27" s="104" t="s">
        <v>5</v>
      </c>
      <c r="C27" s="104"/>
      <c r="D27" s="104"/>
      <c r="E27" s="104"/>
      <c r="F27" s="104"/>
      <c r="G27" s="109"/>
      <c r="H27" s="109"/>
      <c r="K27" s="3"/>
      <c r="L27" s="4"/>
    </row>
    <row r="28" spans="1:12" ht="28.5" customHeight="1" x14ac:dyDescent="0.2">
      <c r="B28" s="110" t="s">
        <v>17</v>
      </c>
      <c r="C28" s="110"/>
      <c r="D28" s="110"/>
      <c r="E28" s="110"/>
      <c r="F28" s="110"/>
      <c r="G28" s="110"/>
      <c r="H28" s="110"/>
      <c r="K28" s="3"/>
      <c r="L28" s="4"/>
    </row>
    <row r="29" spans="1:12" ht="41.25" customHeight="1" x14ac:dyDescent="0.2">
      <c r="B29" s="104" t="s">
        <v>71</v>
      </c>
      <c r="C29" s="104"/>
      <c r="D29" s="104"/>
      <c r="E29" s="104"/>
      <c r="F29" s="104"/>
      <c r="G29" s="104"/>
      <c r="H29" s="104"/>
      <c r="K29" s="3"/>
      <c r="L29" s="4"/>
    </row>
    <row r="30" spans="1:12" ht="29.25" customHeight="1" x14ac:dyDescent="0.2">
      <c r="B30" s="104" t="s">
        <v>15</v>
      </c>
      <c r="C30" s="104"/>
      <c r="D30" s="104"/>
      <c r="E30" s="104"/>
      <c r="F30" s="104"/>
      <c r="G30" s="104"/>
      <c r="H30" s="104"/>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05" t="str">
        <f>IF(K15&gt;=B1,"",IF(AND(COUNTIF(K3:K11,"&gt;=4")=4,COUNTIF(B9:B12,"&gt;0")&gt;2),CONCATENATE("Trying to hit ",B1," hours exactly? Estimate your final punch below"),""))</f>
        <v/>
      </c>
      <c r="B19" s="106"/>
      <c r="C19" s="106"/>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7" t="str">
        <f>IF((A23=""),"",IF(AND((ISBLANK(D11)=FALSE),(ISBLANK(C11)=FALSE)),"You've already entered in lunch punches for today. I'll use those numbers.","&lt;--- Enter today's lunch time as a decimal (e.g. 45 minutes would be .75). Entering nothing will default to 1 hour. You can enter 0 for no lunch."))</f>
        <v/>
      </c>
      <c r="D23" s="108"/>
      <c r="E23" s="108"/>
      <c r="F23" s="108"/>
      <c r="G23" s="108"/>
      <c r="H23" s="108"/>
      <c r="I23" s="108"/>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7" t="str">
        <f>IF((A24=""),"",IF((COUNTA(B11:D11)=2),"Looks like you've got only one lunch punch. Enter another to calculate",""))</f>
        <v/>
      </c>
      <c r="D24" s="108"/>
      <c r="E24" s="108"/>
      <c r="F24" s="108"/>
      <c r="K24" s="3"/>
      <c r="L24" s="4"/>
    </row>
    <row r="25" spans="1:12" ht="12.75" customHeight="1" x14ac:dyDescent="0.2">
      <c r="K25" s="3"/>
      <c r="L25" s="4"/>
    </row>
    <row r="26" spans="1:12" ht="12.75" customHeight="1" x14ac:dyDescent="0.2">
      <c r="K26" s="3"/>
      <c r="L26" s="4"/>
    </row>
    <row r="27" spans="1:12" ht="29.25" customHeight="1" x14ac:dyDescent="0.2">
      <c r="A27" s="10" t="s">
        <v>3</v>
      </c>
      <c r="B27" s="104" t="s">
        <v>5</v>
      </c>
      <c r="C27" s="104"/>
      <c r="D27" s="104"/>
      <c r="E27" s="104"/>
      <c r="F27" s="104"/>
      <c r="G27" s="109"/>
      <c r="H27" s="109"/>
      <c r="K27" s="3"/>
      <c r="L27" s="4"/>
    </row>
    <row r="28" spans="1:12" ht="28.5" customHeight="1" x14ac:dyDescent="0.2">
      <c r="B28" s="110" t="s">
        <v>17</v>
      </c>
      <c r="C28" s="110"/>
      <c r="D28" s="110"/>
      <c r="E28" s="110"/>
      <c r="F28" s="110"/>
      <c r="G28" s="110"/>
      <c r="H28" s="110"/>
      <c r="K28" s="3"/>
      <c r="L28" s="4"/>
    </row>
    <row r="29" spans="1:12" ht="41.25" customHeight="1" x14ac:dyDescent="0.2">
      <c r="B29" s="104" t="s">
        <v>71</v>
      </c>
      <c r="C29" s="104"/>
      <c r="D29" s="104"/>
      <c r="E29" s="104"/>
      <c r="F29" s="104"/>
      <c r="G29" s="104"/>
      <c r="H29" s="104"/>
      <c r="K29" s="3"/>
      <c r="L29" s="4"/>
    </row>
    <row r="30" spans="1:12" ht="29.25" customHeight="1" x14ac:dyDescent="0.2">
      <c r="B30" s="104" t="s">
        <v>15</v>
      </c>
      <c r="C30" s="104"/>
      <c r="D30" s="104"/>
      <c r="E30" s="104"/>
      <c r="F30" s="104"/>
      <c r="G30" s="104"/>
      <c r="H30" s="104"/>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view="pageLayout" zoomScale="115" zoomScaleNormal="100" zoomScalePageLayoutView="115" workbookViewId="0">
      <selection activeCell="G4" sqref="G4"/>
    </sheetView>
  </sheetViews>
  <sheetFormatPr defaultRowHeight="12.75" x14ac:dyDescent="0.2"/>
  <cols>
    <col min="1" max="9" width="9" customWidth="1"/>
    <col min="10" max="10" width="10.140625" customWidth="1"/>
  </cols>
  <sheetData>
    <row r="2" spans="1:10" ht="16.5" thickBot="1" x14ac:dyDescent="0.25">
      <c r="A2" s="100" t="s">
        <v>109</v>
      </c>
      <c r="B2" s="100"/>
      <c r="C2" s="102"/>
      <c r="D2" s="102"/>
      <c r="E2" s="100"/>
      <c r="F2" s="100" t="s">
        <v>112</v>
      </c>
      <c r="G2" s="100"/>
      <c r="H2" s="102"/>
      <c r="I2" s="102"/>
      <c r="J2" s="100"/>
    </row>
    <row r="3" spans="1:10" ht="15.75" x14ac:dyDescent="0.2">
      <c r="A3" s="100"/>
      <c r="B3" s="100"/>
      <c r="C3" s="100"/>
      <c r="D3" s="100"/>
      <c r="E3" s="100"/>
      <c r="F3" s="100"/>
      <c r="G3" s="100"/>
      <c r="H3" s="100"/>
      <c r="I3" s="100"/>
      <c r="J3" s="100"/>
    </row>
    <row r="4" spans="1:10" ht="16.5" thickBot="1" x14ac:dyDescent="0.25">
      <c r="A4" s="100" t="s">
        <v>110</v>
      </c>
      <c r="B4" s="100"/>
      <c r="C4" s="102"/>
      <c r="D4" s="102"/>
      <c r="E4" s="100"/>
      <c r="F4" s="100"/>
      <c r="G4" s="100"/>
      <c r="H4" s="100"/>
      <c r="I4" s="100"/>
      <c r="J4" s="100"/>
    </row>
    <row r="5" spans="1:10" ht="15.75" x14ac:dyDescent="0.2">
      <c r="A5" s="100"/>
      <c r="B5" s="100"/>
      <c r="C5" s="100"/>
      <c r="D5" s="100"/>
      <c r="E5" s="100"/>
      <c r="F5" s="100"/>
      <c r="G5" s="100"/>
      <c r="H5" s="100"/>
      <c r="I5" s="100"/>
      <c r="J5" s="100"/>
    </row>
    <row r="6" spans="1:10" ht="16.5" thickBot="1" x14ac:dyDescent="0.25">
      <c r="A6" s="100" t="s">
        <v>111</v>
      </c>
      <c r="B6" s="100"/>
      <c r="C6" s="102"/>
      <c r="D6" s="102"/>
      <c r="E6" s="100"/>
      <c r="F6" s="100" t="s">
        <v>113</v>
      </c>
      <c r="G6" s="100"/>
      <c r="H6" s="102"/>
      <c r="I6" s="102"/>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15.75" x14ac:dyDescent="0.2">
      <c r="A24" s="101"/>
      <c r="B24" s="101"/>
      <c r="C24" s="101"/>
      <c r="D24" s="101"/>
      <c r="E24" s="101"/>
      <c r="F24" s="101"/>
      <c r="G24" s="101"/>
      <c r="H24" s="101"/>
      <c r="I24" s="101"/>
      <c r="J24" s="101"/>
    </row>
    <row r="25" spans="1:10" ht="15.75" x14ac:dyDescent="0.2">
      <c r="A25" s="100"/>
      <c r="B25" s="100"/>
      <c r="C25" s="100"/>
      <c r="D25" s="100"/>
      <c r="E25" s="100"/>
      <c r="F25" s="100"/>
      <c r="G25" s="100"/>
      <c r="H25" s="100"/>
      <c r="I25" s="100"/>
      <c r="J25" s="100"/>
    </row>
    <row r="26" spans="1:10" ht="15.75" x14ac:dyDescent="0.2">
      <c r="A26" s="101"/>
      <c r="B26" s="101"/>
      <c r="C26" s="101"/>
      <c r="D26" s="101"/>
      <c r="E26" s="101"/>
      <c r="F26" s="101"/>
      <c r="G26" s="101"/>
      <c r="H26" s="101"/>
      <c r="I26" s="101"/>
      <c r="J26" s="101"/>
    </row>
    <row r="27" spans="1:10" ht="15.75" x14ac:dyDescent="0.2">
      <c r="A27" s="100"/>
      <c r="B27" s="100"/>
      <c r="C27" s="100"/>
      <c r="D27" s="100"/>
      <c r="E27" s="100"/>
      <c r="F27" s="100"/>
      <c r="G27" s="100"/>
      <c r="H27" s="100"/>
      <c r="I27" s="100"/>
      <c r="J27" s="100"/>
    </row>
    <row r="28" spans="1:10" ht="15.75" x14ac:dyDescent="0.2">
      <c r="A28" s="101"/>
      <c r="B28" s="101"/>
      <c r="C28" s="101"/>
      <c r="D28" s="101"/>
      <c r="E28" s="101"/>
      <c r="F28" s="101"/>
      <c r="G28" s="101"/>
      <c r="H28" s="101"/>
      <c r="I28" s="101"/>
      <c r="J28" s="101"/>
    </row>
    <row r="29" spans="1:10" ht="15.75" x14ac:dyDescent="0.2">
      <c r="A29" s="100"/>
      <c r="B29" s="100"/>
      <c r="C29" s="100"/>
      <c r="D29" s="100"/>
      <c r="E29" s="100"/>
      <c r="F29" s="100"/>
      <c r="G29" s="100"/>
      <c r="H29" s="100"/>
      <c r="I29" s="100"/>
      <c r="J29" s="100"/>
    </row>
    <row r="30" spans="1:10" ht="16.5" thickBot="1" x14ac:dyDescent="0.25">
      <c r="A30" s="103"/>
      <c r="B30" s="103"/>
      <c r="C30" s="103"/>
      <c r="D30" s="103"/>
      <c r="E30" s="103"/>
      <c r="F30" s="103"/>
      <c r="G30" s="103"/>
      <c r="H30" s="103"/>
      <c r="I30" s="103"/>
      <c r="J30" s="103"/>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69" r:id="rId4" name="boxEmployeeName">
          <controlPr autoFill="0" autoLine="0" listFillRange="References!$A$2:$A$12" r:id="rId5">
            <anchor moveWithCells="1">
              <from>
                <xdr:col>2</xdr:col>
                <xdr:colOff>0</xdr:colOff>
                <xdr:row>1</xdr:row>
                <xdr:rowOff>0</xdr:rowOff>
              </from>
              <to>
                <xdr:col>4</xdr:col>
                <xdr:colOff>180975</xdr:colOff>
                <xdr:row>2</xdr:row>
                <xdr:rowOff>9525</xdr:rowOff>
              </to>
            </anchor>
          </controlPr>
        </control>
      </mc:Choice>
      <mc:Fallback>
        <control shapeId="1397769" r:id="rId4" name="boxEmployeeName"/>
      </mc:Fallback>
    </mc:AlternateContent>
    <mc:AlternateContent xmlns:mc="http://schemas.openxmlformats.org/markup-compatibility/2006">
      <mc:Choice Requires="x14">
        <control shapeId="1397766" r:id="rId6" name="chkOvertimeEarned">
          <controlPr autoFill="0" autoLine="0" r:id="rId7">
            <anchor moveWithCells="1">
              <from>
                <xdr:col>0</xdr:col>
                <xdr:colOff>438150</xdr:colOff>
                <xdr:row>33</xdr:row>
                <xdr:rowOff>190500</xdr:rowOff>
              </from>
              <to>
                <xdr:col>1</xdr:col>
                <xdr:colOff>0</xdr:colOff>
                <xdr:row>35</xdr:row>
                <xdr:rowOff>38100</xdr:rowOff>
              </to>
            </anchor>
          </controlPr>
        </control>
      </mc:Choice>
      <mc:Fallback>
        <control shapeId="1397766" r:id="rId6" name="chkOvertimeEarned"/>
      </mc:Fallback>
    </mc:AlternateContent>
    <mc:AlternateContent xmlns:mc="http://schemas.openxmlformats.org/markup-compatibility/2006">
      <mc:Choice Requires="x14">
        <control shapeId="1397765" r:id="rId8" name="chkCompEarned">
          <controlPr autoFill="0" autoLine="0" r:id="rId7">
            <anchor moveWithCells="1">
              <from>
                <xdr:col>0</xdr:col>
                <xdr:colOff>438150</xdr:colOff>
                <xdr:row>30</xdr:row>
                <xdr:rowOff>180975</xdr:rowOff>
              </from>
              <to>
                <xdr:col>1</xdr:col>
                <xdr:colOff>0</xdr:colOff>
                <xdr:row>32</xdr:row>
                <xdr:rowOff>28575</xdr:rowOff>
              </to>
            </anchor>
          </controlPr>
        </control>
      </mc:Choice>
      <mc:Fallback>
        <control shapeId="1397765" r:id="rId8" name="chkCompEarned"/>
      </mc:Fallback>
    </mc:AlternateContent>
    <mc:AlternateContent xmlns:mc="http://schemas.openxmlformats.org/markup-compatibility/2006">
      <mc:Choice Requires="x14">
        <control shapeId="1397764" r:id="rId9" name="chkOther">
          <controlPr autoFill="0" autoLine="0" r:id="rId7">
            <anchor moveWithCells="1">
              <from>
                <xdr:col>1</xdr:col>
                <xdr:colOff>438150</xdr:colOff>
                <xdr:row>19</xdr:row>
                <xdr:rowOff>180975</xdr:rowOff>
              </from>
              <to>
                <xdr:col>2</xdr:col>
                <xdr:colOff>0</xdr:colOff>
                <xdr:row>21</xdr:row>
                <xdr:rowOff>28575</xdr:rowOff>
              </to>
            </anchor>
          </controlPr>
        </control>
      </mc:Choice>
      <mc:Fallback>
        <control shapeId="1397764" r:id="rId9" name="chkOther"/>
      </mc:Fallback>
    </mc:AlternateContent>
    <mc:AlternateContent xmlns:mc="http://schemas.openxmlformats.org/markup-compatibility/2006">
      <mc:Choice Requires="x14">
        <control shapeId="1397763" r:id="rId10" name="chkComp">
          <controlPr autoFill="0" autoLine="0" r:id="rId11">
            <anchor moveWithCells="1">
              <from>
                <xdr:col>1</xdr:col>
                <xdr:colOff>438150</xdr:colOff>
                <xdr:row>17</xdr:row>
                <xdr:rowOff>171450</xdr:rowOff>
              </from>
              <to>
                <xdr:col>2</xdr:col>
                <xdr:colOff>0</xdr:colOff>
                <xdr:row>19</xdr:row>
                <xdr:rowOff>28575</xdr:rowOff>
              </to>
            </anchor>
          </controlPr>
        </control>
      </mc:Choice>
      <mc:Fallback>
        <control shapeId="1397763" r:id="rId10" name="chkComp"/>
      </mc:Fallback>
    </mc:AlternateContent>
    <mc:AlternateContent xmlns:mc="http://schemas.openxmlformats.org/markup-compatibility/2006">
      <mc:Choice Requires="x14">
        <control shapeId="1397762" r:id="rId12" name="chkCat">
          <controlPr autoFill="0" autoLine="0" r:id="rId7">
            <anchor moveWithCells="1">
              <from>
                <xdr:col>1</xdr:col>
                <xdr:colOff>438150</xdr:colOff>
                <xdr:row>10</xdr:row>
                <xdr:rowOff>190500</xdr:rowOff>
              </from>
              <to>
                <xdr:col>2</xdr:col>
                <xdr:colOff>0</xdr:colOff>
                <xdr:row>12</xdr:row>
                <xdr:rowOff>38100</xdr:rowOff>
              </to>
            </anchor>
          </controlPr>
        </control>
      </mc:Choice>
      <mc:Fallback>
        <control shapeId="1397762" r:id="rId12" name="chkCat"/>
      </mc:Fallback>
    </mc:AlternateContent>
    <mc:AlternateContent xmlns:mc="http://schemas.openxmlformats.org/markup-compatibility/2006">
      <mc:Choice Requires="x14">
        <control shapeId="1397761" r:id="rId13" name="chkPTO">
          <controlPr autoFill="0" autoLine="0" r:id="rId7">
            <anchor moveWithCells="1">
              <from>
                <xdr:col>1</xdr:col>
                <xdr:colOff>438150</xdr:colOff>
                <xdr:row>8</xdr:row>
                <xdr:rowOff>190500</xdr:rowOff>
              </from>
              <to>
                <xdr:col>2</xdr:col>
                <xdr:colOff>0</xdr:colOff>
                <xdr:row>10</xdr:row>
                <xdr:rowOff>38100</xdr:rowOff>
              </to>
            </anchor>
          </controlPr>
        </control>
      </mc:Choice>
      <mc:Fallback>
        <control shapeId="1397761" r:id="rId13" name="chkPT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11" t="s">
        <v>26</v>
      </c>
      <c r="B1" s="111"/>
      <c r="C1" s="111"/>
      <c r="D1" s="111"/>
      <c r="E1" s="111"/>
      <c r="N1" s="112" t="s">
        <v>39</v>
      </c>
      <c r="O1" s="112"/>
      <c r="P1" s="112"/>
      <c r="Q1" s="112"/>
      <c r="R1" s="11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2"/>
  <sheetViews>
    <sheetView workbookViewId="0">
      <selection activeCell="E39" sqref="E39"/>
    </sheetView>
  </sheetViews>
  <sheetFormatPr defaultRowHeight="12.75" x14ac:dyDescent="0.2"/>
  <sheetData>
    <row r="1" spans="1:1" x14ac:dyDescent="0.2">
      <c r="A1" t="s">
        <v>140</v>
      </c>
    </row>
    <row r="2" spans="1:1" x14ac:dyDescent="0.2">
      <c r="A2" t="s">
        <v>129</v>
      </c>
    </row>
    <row r="3" spans="1:1" x14ac:dyDescent="0.2">
      <c r="A3" t="s">
        <v>130</v>
      </c>
    </row>
    <row r="4" spans="1:1" x14ac:dyDescent="0.2">
      <c r="A4" t="s">
        <v>132</v>
      </c>
    </row>
    <row r="5" spans="1:1" x14ac:dyDescent="0.2">
      <c r="A5" t="s">
        <v>139</v>
      </c>
    </row>
    <row r="6" spans="1:1" x14ac:dyDescent="0.2">
      <c r="A6" t="s">
        <v>133</v>
      </c>
    </row>
    <row r="7" spans="1:1" x14ac:dyDescent="0.2">
      <c r="A7" t="s">
        <v>138</v>
      </c>
    </row>
    <row r="8" spans="1:1" x14ac:dyDescent="0.2">
      <c r="A8" t="s">
        <v>137</v>
      </c>
    </row>
    <row r="9" spans="1:1" x14ac:dyDescent="0.2">
      <c r="A9" t="s">
        <v>136</v>
      </c>
    </row>
    <row r="10" spans="1:1" x14ac:dyDescent="0.2">
      <c r="A10" t="s">
        <v>131</v>
      </c>
    </row>
    <row r="11" spans="1:1" x14ac:dyDescent="0.2">
      <c r="A11" t="s">
        <v>135</v>
      </c>
    </row>
    <row r="12" spans="1:1" x14ac:dyDescent="0.2">
      <c r="A12"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2013-08-27T14:22:40Z</dcterms:modified>
</cp:coreProperties>
</file>