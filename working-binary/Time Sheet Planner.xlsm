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00" yWindow="300" windowWidth="14115" windowHeight="8490" tabRatio="601"/>
  </bookViews>
  <sheets>
    <sheet name="Time Sheet Planner" sheetId="1832" r:id="rId1"/>
    <sheet name="Hidden Backup of Old Backup" sheetId="1836" state="veryHidden" r:id="rId2"/>
    <sheet name="Hidden Backup of Main" sheetId="1981" state="veryHidden" r:id="rId3"/>
    <sheet name="User Preferences" sheetId="5" r:id="rId4"/>
    <sheet name="Changelog" sheetId="8" r:id="rId5"/>
    <sheet name="PeopleSoft" sheetId="1709" r:id="rId6"/>
  </sheets>
  <functionGroups builtInGroupCount="17"/>
  <calcPr calcId="145621"/>
</workbook>
</file>

<file path=xl/calcChain.xml><?xml version="1.0" encoding="utf-8"?>
<calcChain xmlns="http://schemas.openxmlformats.org/spreadsheetml/2006/main">
  <c r="D9" i="5" l="1"/>
  <c r="K12" i="1832" l="1"/>
  <c r="K10" i="1832"/>
  <c r="K13" i="1832" s="1"/>
  <c r="K11" i="1832" l="1"/>
  <c r="I21" i="1981"/>
  <c r="H21" i="1981"/>
  <c r="G21" i="1981"/>
  <c r="G20" i="1981"/>
  <c r="H20" i="1981" s="1"/>
  <c r="G19" i="1981"/>
  <c r="H19" i="1981" s="1"/>
  <c r="K18" i="1981"/>
  <c r="G18" i="1981"/>
  <c r="H18" i="1981" s="1"/>
  <c r="K17" i="1981"/>
  <c r="H17" i="1981"/>
  <c r="G17" i="1981"/>
  <c r="L16" i="1981"/>
  <c r="L15" i="1981"/>
  <c r="K15" i="1981"/>
  <c r="A19" i="1981" s="1"/>
  <c r="A21" i="1981" s="1"/>
  <c r="L14" i="1981"/>
  <c r="J14" i="1981"/>
  <c r="L13" i="1981"/>
  <c r="J13" i="1981"/>
  <c r="J12" i="1981"/>
  <c r="L11" i="1981"/>
  <c r="J11" i="1981"/>
  <c r="J10" i="1981"/>
  <c r="L9" i="1981"/>
  <c r="J9" i="1981"/>
  <c r="J8" i="1981"/>
  <c r="L7" i="1981"/>
  <c r="J7" i="1981"/>
  <c r="J6" i="1981"/>
  <c r="L5" i="1981"/>
  <c r="J5" i="1981"/>
  <c r="J4" i="1981"/>
  <c r="L3" i="1981"/>
  <c r="J3" i="1981"/>
  <c r="A22" i="1981" l="1"/>
  <c r="A23" i="1981" s="1"/>
  <c r="B21" i="1981"/>
  <c r="B22" i="1981" s="1"/>
  <c r="K16" i="1981"/>
  <c r="A24" i="1981" l="1"/>
  <c r="C23" i="1981"/>
  <c r="C24" i="1981" l="1"/>
  <c r="B24" i="1981"/>
  <c r="L3" i="1832" l="1"/>
  <c r="L4" i="1832"/>
  <c r="I21" i="1836" l="1"/>
  <c r="H21" i="1836"/>
  <c r="G21" i="1836"/>
  <c r="G20" i="1836"/>
  <c r="H20" i="1836" s="1"/>
  <c r="G19" i="1836"/>
  <c r="H19" i="1836" s="1"/>
  <c r="K18" i="1836"/>
  <c r="G18" i="1836"/>
  <c r="H18" i="1836" s="1"/>
  <c r="K17" i="1836"/>
  <c r="H17" i="1836"/>
  <c r="G17" i="1836"/>
  <c r="L16" i="1836"/>
  <c r="L15" i="1836"/>
  <c r="K15" i="1836"/>
  <c r="A19" i="1836" s="1"/>
  <c r="A21" i="1836" s="1"/>
  <c r="L14" i="1836"/>
  <c r="J14" i="1836"/>
  <c r="L13" i="1836"/>
  <c r="J13" i="1836"/>
  <c r="J12" i="1836"/>
  <c r="L11" i="1836"/>
  <c r="J11" i="1836"/>
  <c r="J10" i="1836"/>
  <c r="L9" i="1836"/>
  <c r="J9" i="1836"/>
  <c r="J8" i="1836"/>
  <c r="L7" i="1836"/>
  <c r="J7" i="1836"/>
  <c r="J6" i="1836"/>
  <c r="L5" i="1836"/>
  <c r="J5" i="1836"/>
  <c r="J4" i="1836"/>
  <c r="L3" i="1836"/>
  <c r="J3" i="1836"/>
  <c r="G12" i="1832"/>
  <c r="G15" i="1832" s="1"/>
  <c r="H15" i="1832" s="1"/>
  <c r="L10" i="1832"/>
  <c r="L9" i="1832"/>
  <c r="J9" i="1832"/>
  <c r="L8" i="1832"/>
  <c r="J8" i="1832"/>
  <c r="L7" i="1832"/>
  <c r="J7" i="1832"/>
  <c r="L6" i="1832"/>
  <c r="J6" i="1832"/>
  <c r="L5" i="1832"/>
  <c r="J5" i="1832"/>
  <c r="J4" i="1832"/>
  <c r="J3" i="1832"/>
  <c r="A22" i="1836" l="1"/>
  <c r="A23" i="1836" s="1"/>
  <c r="B21" i="1836"/>
  <c r="B22" i="1836" s="1"/>
  <c r="K16" i="1836"/>
  <c r="H12" i="1832"/>
  <c r="L11" i="1832" s="1"/>
  <c r="G13" i="1832"/>
  <c r="H13" i="1832" s="1"/>
  <c r="G14" i="1832"/>
  <c r="H14" i="1832" s="1"/>
  <c r="A24" i="1836" l="1"/>
  <c r="C23" i="1836"/>
  <c r="C24" i="1836" l="1"/>
  <c r="B24" i="1836"/>
  <c r="D3" i="5" l="1"/>
  <c r="B7" i="5"/>
</calcChain>
</file>

<file path=xl/comments1.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2.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sharedStrings.xml><?xml version="1.0" encoding="utf-8"?>
<sst xmlns="http://schemas.openxmlformats.org/spreadsheetml/2006/main" count="165" uniqueCount="109">
  <si>
    <t>Out</t>
  </si>
  <si>
    <t>(calc)</t>
  </si>
  <si>
    <t>Time off (decimal hours)</t>
  </si>
  <si>
    <t>Notes:</t>
  </si>
  <si>
    <t>In</t>
  </si>
  <si>
    <t>There are hidden rows and formulas in lots of places, and most of them are locked. If you can't edit a certain cell, you probably don't need to.</t>
  </si>
  <si>
    <t>Total (rounded hrs.)</t>
  </si>
  <si>
    <t>Saturday</t>
  </si>
  <si>
    <t>Thursday</t>
  </si>
  <si>
    <t>Monday</t>
  </si>
  <si>
    <t>Tuesday</t>
  </si>
  <si>
    <t>Out-Lunch</t>
  </si>
  <si>
    <t>Wednesday</t>
  </si>
  <si>
    <t>In-Lunch</t>
  </si>
  <si>
    <t>Friday</t>
  </si>
  <si>
    <t>Depending on your benefits, you may not accrue Comp Time or PTO, or you may accrue it at different rates. This spreadsheet assumes Premium Comp Time accrual at 1.5 times. All time off requests must be processed and approved by a supervisor.</t>
  </si>
  <si>
    <t>Warning Flags</t>
  </si>
  <si>
    <t>Times listed (and estimated) should be based on the clock on the punch tool. Times are rounded to the nearest quarter hour. For example, 11:49:05 or 11:52:27 round down to 11:45:00, and 11:52:31 or 11:59:23 round up to 12:00:00.</t>
  </si>
  <si>
    <t>Notes to yourself</t>
  </si>
  <si>
    <t>You can change a few things here. Right now, all that can be changed is Exempt status (which affects Comp Time accrual rates).</t>
  </si>
  <si>
    <t>Status:</t>
  </si>
  <si>
    <t>Exempt</t>
  </si>
  <si>
    <t>Non-Exempt</t>
  </si>
  <si>
    <t>Rate:</t>
  </si>
  <si>
    <t>(calculated)</t>
  </si>
  <si>
    <t>Time off code (comp,cat,pto,holiday)</t>
  </si>
  <si>
    <t>Changelog</t>
  </si>
  <si>
    <t>Began changelog</t>
  </si>
  <si>
    <t>Fixed bug that could prevent Friday punch helper from appearing</t>
  </si>
  <si>
    <t>Added formula in Friday punch helper that will make automatic 1-hour lunch more obvious to user</t>
  </si>
  <si>
    <t>Added time code for holiday hours</t>
  </si>
  <si>
    <t>Fixed bug that could incorrectly report the number of incorrect or missing timecodes for time off</t>
  </si>
  <si>
    <t>v.4 (released 4/29)</t>
  </si>
  <si>
    <t>v.5 (released 8/15)</t>
  </si>
  <si>
    <t>Updated example sheet to reflect new planner</t>
  </si>
  <si>
    <t>Added button on main sheet to clear previous times (uses macro)</t>
  </si>
  <si>
    <t>Beta release of PeopleSoft importer</t>
  </si>
  <si>
    <t>Allows inputting of times in sheet in military time without : seperator (e.g., 1300, 13, 13:00, 13.00 all convert to 1:00:00 PM)</t>
  </si>
  <si>
    <t>Beta release of button to email times to someone</t>
  </si>
  <si>
    <t>Task list (for future development)</t>
  </si>
  <si>
    <t>Test and refine PeopleSoft importer</t>
  </si>
  <si>
    <t>PS Importer currently discards (ignores) time off values</t>
  </si>
  <si>
    <t>Update conflict resolution to include ability to move punches (for missing IN PS punches)</t>
  </si>
  <si>
    <t>Decrease number of prompts to user; become more autonomous</t>
  </si>
  <si>
    <t>Eventually fully automate calculations, instead of using hidden cells</t>
  </si>
  <si>
    <t>Re-work design and layout to be easier to understand (less big blocks of text)</t>
  </si>
  <si>
    <t>Adjust last-punch calculator to be VBA, include all contingencies and proper trigger for showing</t>
  </si>
  <si>
    <t>Part-time</t>
  </si>
  <si>
    <t>X</t>
  </si>
  <si>
    <t>New Bug: adding an OUT time should check to see if it's after the IN time, and adjust to military accordingly (e.g. 5--&gt;1700)</t>
  </si>
  <si>
    <t>New Bug: Highlighting times in email script does not work, sometimes highlights header values</t>
  </si>
  <si>
    <t>New Bug: Midnight times are not converted correctly if : seperator is not used (fix: look for hrs&gt;24)</t>
  </si>
  <si>
    <t>Fixed Bug: selecting multiple options in user prefs now disallowed; part time employees added, new comp time forumla in sheet</t>
  </si>
  <si>
    <t>v.6 beta (released 10/24)</t>
  </si>
  <si>
    <t>Other emails</t>
  </si>
  <si>
    <t>The emails below cannot be edited here. Try emailing your times to someone to enter an alternate contact person.</t>
  </si>
  <si>
    <t>Enter times in nearly any format (e.g. 1300, 13:00, 13.00, 13, 1 (if entered after an earlier punch) will all conver to 1:00 PM)</t>
  </si>
  <si>
    <t>Fixed Bug: Importing from PeopleSoft was not possible when using any browser other than Chrome</t>
  </si>
  <si>
    <t>Fixed Bug: Various input revision bugs when inputting directly to sheet (not using military time)</t>
  </si>
  <si>
    <t>Fixed: (v.6) New Bug: adding an OUT time should check to see if it's after the IN time, and adjust to military accordingly (e.g. 5--&gt;1700)</t>
  </si>
  <si>
    <t>Fixed Bug: Inputting times directly to sheet using two digits over 24 rolls over to future days (fix: disallow and blank &gt;24 inputs)</t>
  </si>
  <si>
    <t>Fixed Bug: adding/deleting additional names and emails inside email times routine is now more robust</t>
  </si>
  <si>
    <t>Added: highlight (faint) those times that were either new or confirmed with PeopleSoft imports (cleared as well). Should retain between edits.</t>
  </si>
  <si>
    <t>Added: when running PeopleSoft importer, now checks for open window with timesheet. If not, prompts to open timesheet URL</t>
  </si>
  <si>
    <t>Fixed: (v.6) New Bug: Highlighting times in email script does not work, sometimes highlights header values</t>
  </si>
  <si>
    <t>New Bug: Too much screen flicker (probably because of poorly-placed Application.ScreenUpdating commands)</t>
  </si>
  <si>
    <t>v.6.1 beta (released 11/03)</t>
  </si>
  <si>
    <t>Revised pre-populated list of names/emails for emailling times based on staff turnover</t>
  </si>
  <si>
    <t>v.6.2 beta (released 02/10)</t>
  </si>
  <si>
    <t>Fixed bug in Email sub that halted when no Outlook signature file existed (based on font and font size)</t>
  </si>
  <si>
    <t>Fixed bug in VBA references when running on older versions of Office (removed superfluous references)</t>
  </si>
  <si>
    <t>This spreadsheet should be used as an aid and informal planning tool, and shouldn't be considered error-proof. Especially the part about Friday last punches. You can use this as a guide to your weekly time planning, but check Peoplesoft for correct numbers at the end of each week when all punches have registered. And be sure to coordinate with your supervisor.</t>
  </si>
  <si>
    <t>How many hours do you work per week? (maximum, e.g. 40 for full-time, less for part-time):</t>
  </si>
  <si>
    <t>Added error catching code in Email sub, prompting with a more descriptive (and user-friendly) error message</t>
  </si>
  <si>
    <t>v.6.2 RC (released 05/29)</t>
  </si>
  <si>
    <t>Added "working" form to Clear Times button</t>
  </si>
  <si>
    <t>Fixed bug where some subs wouldn't heed command to not show application alerts, which resulted in user confusion</t>
  </si>
  <si>
    <t>Hidden working sub now included, which will eventually process PeopleSoft HTML code for timesheet import</t>
  </si>
  <si>
    <t xml:space="preserve">After clearing times on main page, active cell now returns to Monday's first punch </t>
  </si>
  <si>
    <t>Make auto-round of PeopleSoft times a user-selectable option (default rounded)</t>
  </si>
  <si>
    <t>Adjusted Clear Times sub to remove comments, which could incorrectly report previously imported PeopleSoft times</t>
  </si>
  <si>
    <t>Re-wrote adding code, which is all done in the background and doesn't use (breakable) sheet formulas</t>
  </si>
  <si>
    <t>Slightly revised Clear Times sub to run faster and with less screen flicker</t>
  </si>
  <si>
    <t>v.6.3 RC (released 12/10/2012)</t>
  </si>
  <si>
    <t>To-Do</t>
  </si>
  <si>
    <t>Fix PeopleSoft importing (maybe add web browser or refreshable web query?)</t>
  </si>
  <si>
    <t>Fix last punch estimator (not showing up anymore, because formulas point to blank hidden rows)</t>
  </si>
  <si>
    <t>Remove references to hidden rows in code, and delete those rows</t>
  </si>
  <si>
    <t>Added prompt on PeopleSoft Importer notifying user that it's currently broken</t>
  </si>
  <si>
    <t>v.6.5 Beta (unreleased)</t>
  </si>
  <si>
    <t>v.6.4 RC (released 1/7/2013)</t>
  </si>
  <si>
    <t>Fixed lingering progress bar when cancelling the clearing of a sheet</t>
  </si>
  <si>
    <t>Changed how the Clear Times sub works, since we don't care about the hidden rows anymore (simply clears a range of cells now, instead of slowly looping)</t>
  </si>
  <si>
    <t>Sunday</t>
  </si>
  <si>
    <t>Added Sunday to the timesheet (even though it's rarely used)</t>
  </si>
  <si>
    <t>Automatically email about time off needed to be entered, if any exists (only for full-weeks? Figure out how to calculate)</t>
  </si>
  <si>
    <t>If entering afternoon (last punch) in a row, make it PM if it looks like it should be</t>
  </si>
  <si>
    <t>Times with seconds can now be entered without punctuation (e.g. 12:22:46 can be entered as 122246 and will format correctly)</t>
  </si>
  <si>
    <t>Times entered in OUT column are assumed to be PM and a final (night) punch</t>
  </si>
  <si>
    <t>Added Supervisor sheet for calculating by pay period</t>
  </si>
  <si>
    <t>v7.0 (unreleased)</t>
  </si>
  <si>
    <t>Added code to GitHub, which will track all issues and the changelog from now on</t>
  </si>
  <si>
    <t>https://github.com/jakebathman/Time-Sheet-Planner</t>
  </si>
  <si>
    <t xml:space="preserve">How many hours do you work per week? </t>
  </si>
  <si>
    <t>Total
(rounded hrs.)</t>
  </si>
  <si>
    <t>Time off</t>
  </si>
  <si>
    <t>No Prompts:</t>
  </si>
  <si>
    <t>True</t>
  </si>
  <si>
    <t>False</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</si>
</sst>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3" formatCode="_(* #,##0.00_);_(* \(#,##0.00\);_(* &quot;-&quot;??_);_(@_)"/>
    <numFmt numFmtId="164" formatCode="#,##0.###############"/>
    <numFmt numFmtId="165" formatCode="[$-F400]h:mm:ss\ AM/PM"/>
  </numFmts>
  <fonts count="11" x14ac:knownFonts="1">
    <font>
      <sz val="10"/>
      <name val="Arial"/>
      <family val="2"/>
    </font>
    <font>
      <b/>
      <sz val="10"/>
      <name val="Arial"/>
      <family val="2"/>
    </font>
    <font>
      <i/>
      <sz val="10"/>
      <name val="Arial"/>
      <family val="2"/>
    </font>
    <font>
      <sz val="10"/>
      <color indexed="8"/>
      <name val="Arial"/>
      <family val="2"/>
    </font>
    <font>
      <b/>
      <i/>
      <sz val="10"/>
      <name val="Arial"/>
      <family val="2"/>
    </font>
    <font>
      <sz val="10"/>
      <name val="Arial"/>
      <family val="2"/>
    </font>
    <font>
      <b/>
      <sz val="10"/>
      <color indexed="8"/>
      <name val="Arial"/>
      <family val="2"/>
    </font>
    <font>
      <sz val="10"/>
      <color rgb="FF000000"/>
      <name val="Arial"/>
      <family val="2"/>
    </font>
    <font>
      <b/>
      <sz val="10"/>
      <color rgb="FF000000"/>
      <name val="Arial"/>
      <family val="2"/>
    </font>
    <font>
      <i/>
      <sz val="10"/>
      <color indexed="8"/>
      <name val="Arial"/>
      <family val="2"/>
    </font>
    <font>
      <u/>
      <sz val="10"/>
      <color theme="10"/>
      <name val="Arial"/>
      <family val="2"/>
    </font>
  </fonts>
  <fills count="6">
    <fill>
      <patternFill patternType="none"/>
    </fill>
    <fill>
      <patternFill patternType="gray125"/>
    </fill>
    <fill>
      <patternFill patternType="solid">
        <fgColor indexed="9"/>
        <bgColor indexed="64"/>
      </patternFill>
    </fill>
    <fill>
      <patternFill patternType="solid">
        <fgColor indexed="34"/>
        <bgColor indexed="64"/>
      </patternFill>
    </fill>
    <fill>
      <patternFill patternType="solid">
        <fgColor rgb="FFFFFF00"/>
        <bgColor indexed="64"/>
      </patternFill>
    </fill>
    <fill>
      <patternFill patternType="solid">
        <fgColor rgb="FF00B0F0"/>
        <bgColor indexed="64"/>
      </patternFill>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3">
    <xf numFmtId="0" fontId="0" fillId="0" borderId="0">
      <alignment vertical="center"/>
    </xf>
    <xf numFmtId="43" fontId="5" fillId="0" borderId="0" applyFont="0" applyFill="0" applyBorder="0" applyAlignment="0" applyProtection="0">
      <alignment vertical="center"/>
    </xf>
    <xf numFmtId="0" fontId="10" fillId="0" borderId="0" applyNumberFormat="0" applyFill="0" applyBorder="0" applyAlignment="0" applyProtection="0">
      <alignment vertical="center"/>
    </xf>
  </cellStyleXfs>
  <cellXfs count="109">
    <xf numFmtId="0" fontId="0" fillId="0" borderId="0" xfId="0">
      <alignment vertical="center"/>
    </xf>
    <xf numFmtId="0" fontId="1" fillId="0" borderId="0" xfId="0" applyNumberFormat="1" applyFont="1" applyFill="1" applyAlignment="1">
      <alignment horizontal="right" wrapText="1"/>
    </xf>
    <xf numFmtId="0" fontId="0" fillId="0" borderId="0" xfId="0" applyNumberFormat="1" applyFont="1" applyFill="1" applyAlignment="1">
      <alignment horizontal="center" wrapText="1"/>
    </xf>
    <xf numFmtId="0" fontId="1" fillId="2" borderId="0" xfId="0" applyNumberFormat="1" applyFont="1" applyFill="1" applyAlignment="1">
      <alignment horizontal="center" wrapText="1"/>
    </xf>
    <xf numFmtId="164" fontId="0" fillId="0" borderId="0" xfId="0" applyNumberFormat="1" applyFont="1" applyFill="1" applyAlignment="1">
      <alignment wrapText="1"/>
    </xf>
    <xf numFmtId="4" fontId="0" fillId="0" borderId="0" xfId="0" applyNumberFormat="1" applyFont="1" applyFill="1" applyAlignment="1">
      <alignment horizontal="center" wrapText="1"/>
    </xf>
    <xf numFmtId="21" fontId="0" fillId="0" borderId="0" xfId="0" applyNumberFormat="1" applyFont="1" applyFill="1" applyAlignment="1">
      <alignment wrapText="1"/>
    </xf>
    <xf numFmtId="0" fontId="0" fillId="0" borderId="0" xfId="0" applyNumberFormat="1" applyFont="1" applyFill="1" applyAlignment="1">
      <alignment horizontal="right" wrapText="1"/>
    </xf>
    <xf numFmtId="4" fontId="1" fillId="0" borderId="0" xfId="0" applyNumberFormat="1" applyFont="1" applyFill="1" applyAlignment="1">
      <alignment horizontal="center" wrapText="1"/>
    </xf>
    <xf numFmtId="21" fontId="1" fillId="0" borderId="0" xfId="0" applyNumberFormat="1" applyFont="1" applyFill="1" applyAlignment="1">
      <alignment horizontal="center" wrapText="1"/>
    </xf>
    <xf numFmtId="0" fontId="4" fillId="0" borderId="0" xfId="0" applyNumberFormat="1" applyFont="1" applyFill="1" applyAlignment="1">
      <alignment horizontal="center" vertical="center" wrapText="1"/>
    </xf>
    <xf numFmtId="0" fontId="0" fillId="0" borderId="0" xfId="0" applyProtection="1">
      <alignment vertical="center"/>
      <protection hidden="1"/>
    </xf>
    <xf numFmtId="0" fontId="0" fillId="0" borderId="0" xfId="0" applyNumberFormat="1" applyFont="1" applyFill="1" applyAlignment="1" applyProtection="1">
      <alignment horizontal="center" wrapText="1"/>
      <protection locked="0"/>
    </xf>
    <xf numFmtId="0" fontId="1" fillId="2" borderId="0" xfId="0" applyNumberFormat="1" applyFont="1" applyFill="1" applyAlignment="1">
      <alignment horizontal="center" vertical="center" wrapText="1"/>
    </xf>
    <xf numFmtId="0" fontId="0" fillId="0" borderId="0" xfId="0" applyAlignment="1">
      <alignment horizontal="right" vertical="center"/>
    </xf>
    <xf numFmtId="0" fontId="0" fillId="0" borderId="0" xfId="0" applyAlignment="1">
      <alignment horizontal="center" vertical="center"/>
    </xf>
    <xf numFmtId="164" fontId="2" fillId="0" borderId="0" xfId="0" applyNumberFormat="1" applyFont="1" applyFill="1" applyAlignment="1">
      <alignment horizontal="center" wrapText="1"/>
    </xf>
    <xf numFmtId="164" fontId="2" fillId="0" borderId="0" xfId="0" applyNumberFormat="1" applyFont="1" applyFill="1" applyAlignment="1">
      <alignment horizontal="center" vertical="center" wrapText="1"/>
    </xf>
    <xf numFmtId="4" fontId="0" fillId="0" borderId="0" xfId="0" applyNumberFormat="1" applyAlignment="1">
      <alignment horizontal="center" vertical="center"/>
    </xf>
    <xf numFmtId="164" fontId="0" fillId="0" borderId="0" xfId="0" applyNumberFormat="1" applyFill="1" applyAlignment="1">
      <alignment wrapText="1"/>
    </xf>
    <xf numFmtId="165" fontId="0" fillId="0" borderId="1" xfId="0" applyNumberFormat="1" applyFont="1" applyFill="1" applyBorder="1" applyAlignment="1" applyProtection="1">
      <alignment horizontal="center" vertical="center" wrapText="1"/>
      <protection locked="0"/>
    </xf>
    <xf numFmtId="165" fontId="0" fillId="0" borderId="2" xfId="0" applyNumberFormat="1" applyFont="1" applyFill="1" applyBorder="1" applyAlignment="1" applyProtection="1">
      <alignment horizontal="center" vertical="center" wrapText="1"/>
      <protection locked="0"/>
    </xf>
    <xf numFmtId="4" fontId="0" fillId="0" borderId="2" xfId="0" applyNumberFormat="1" applyFon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xf>
    <xf numFmtId="2" fontId="1" fillId="2" borderId="2" xfId="1" applyNumberFormat="1" applyFont="1" applyFill="1" applyBorder="1" applyAlignment="1">
      <alignment horizontal="center" vertical="center" wrapText="1"/>
    </xf>
    <xf numFmtId="164" fontId="2" fillId="0" borderId="2" xfId="0" applyNumberFormat="1" applyFont="1" applyFill="1" applyBorder="1" applyAlignment="1"/>
    <xf numFmtId="0" fontId="0" fillId="0" borderId="3" xfId="0" applyBorder="1">
      <alignment vertical="center"/>
    </xf>
    <xf numFmtId="165" fontId="3" fillId="0" borderId="4" xfId="0" applyNumberFormat="1" applyFont="1" applyFill="1" applyBorder="1" applyAlignment="1" applyProtection="1">
      <alignment horizontal="center" vertical="center" wrapText="1"/>
      <protection hidden="1"/>
    </xf>
    <xf numFmtId="165" fontId="3" fillId="0" borderId="0" xfId="0" applyNumberFormat="1" applyFont="1" applyFill="1" applyBorder="1" applyAlignment="1" applyProtection="1">
      <alignment horizontal="center" vertical="center" wrapText="1"/>
      <protection hidden="1"/>
    </xf>
    <xf numFmtId="4" fontId="0"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protection locked="0"/>
    </xf>
    <xf numFmtId="2" fontId="1" fillId="2" borderId="0" xfId="1" applyNumberFormat="1" applyFont="1" applyFill="1" applyBorder="1" applyAlignment="1" applyProtection="1">
      <alignment horizontal="center" vertical="center" wrapText="1"/>
      <protection hidden="1"/>
    </xf>
    <xf numFmtId="164" fontId="2" fillId="0" borderId="0" xfId="0" applyNumberFormat="1" applyFont="1" applyFill="1" applyBorder="1" applyAlignment="1"/>
    <xf numFmtId="0" fontId="0" fillId="0" borderId="5" xfId="0" applyBorder="1" applyProtection="1">
      <alignment vertical="center"/>
      <protection hidden="1"/>
    </xf>
    <xf numFmtId="165" fontId="0" fillId="0" borderId="4" xfId="0" applyNumberFormat="1" applyFont="1" applyFill="1" applyBorder="1" applyAlignment="1" applyProtection="1">
      <alignment horizontal="center" vertical="center" wrapText="1"/>
      <protection locked="0"/>
    </xf>
    <xf numFmtId="165"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xf>
    <xf numFmtId="2" fontId="1" fillId="2" borderId="0" xfId="1" applyNumberFormat="1" applyFont="1" applyFill="1" applyBorder="1" applyAlignment="1">
      <alignment horizontal="center" vertical="center" wrapText="1"/>
    </xf>
    <xf numFmtId="0" fontId="0" fillId="0" borderId="5" xfId="0" applyBorder="1">
      <alignment vertical="center"/>
    </xf>
    <xf numFmtId="165" fontId="0" fillId="0" borderId="6" xfId="0" applyNumberFormat="1" applyFont="1" applyFill="1" applyBorder="1" applyAlignment="1" applyProtection="1">
      <alignment horizontal="center" vertical="center" wrapText="1"/>
      <protection locked="0"/>
    </xf>
    <xf numFmtId="165" fontId="0" fillId="0" borderId="7" xfId="0" applyNumberFormat="1" applyFont="1" applyFill="1" applyBorder="1" applyAlignment="1" applyProtection="1">
      <alignment horizontal="center" vertical="center" wrapText="1"/>
      <protection locked="0"/>
    </xf>
    <xf numFmtId="4" fontId="0" fillId="0" borderId="7" xfId="0" applyNumberFormat="1" applyFon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xf>
    <xf numFmtId="2" fontId="1" fillId="2" borderId="7" xfId="1" applyNumberFormat="1" applyFont="1" applyFill="1" applyBorder="1" applyAlignment="1">
      <alignment horizontal="center" vertical="center" wrapText="1"/>
    </xf>
    <xf numFmtId="164" fontId="2" fillId="0" borderId="7" xfId="0" applyNumberFormat="1" applyFont="1" applyFill="1" applyBorder="1" applyAlignment="1"/>
    <xf numFmtId="0" fontId="0" fillId="0" borderId="8" xfId="0" applyBorder="1">
      <alignment vertical="center"/>
    </xf>
    <xf numFmtId="0" fontId="0" fillId="0" borderId="0" xfId="0" applyProtection="1">
      <alignment vertical="center"/>
    </xf>
    <xf numFmtId="0" fontId="1" fillId="0" borderId="0" xfId="0" applyFont="1" applyAlignment="1" applyProtection="1">
      <alignment horizontal="right" vertical="center"/>
    </xf>
    <xf numFmtId="0" fontId="0" fillId="0" borderId="0" xfId="0" applyAlignment="1" applyProtection="1">
      <alignment horizontal="right" vertical="center"/>
    </xf>
    <xf numFmtId="0" fontId="0" fillId="0" borderId="0" xfId="0" applyAlignment="1" applyProtection="1">
      <alignment horizontal="center" vertical="center"/>
    </xf>
    <xf numFmtId="0" fontId="2" fillId="0" borderId="0" xfId="0" applyFont="1" applyFill="1" applyAlignment="1" applyProtection="1">
      <alignment horizontal="center" vertical="center"/>
    </xf>
    <xf numFmtId="0" fontId="2" fillId="0" borderId="0" xfId="0" applyFont="1" applyProtection="1">
      <alignment vertical="center"/>
    </xf>
    <xf numFmtId="0" fontId="0" fillId="0" borderId="0" xfId="0" applyAlignment="1" applyProtection="1">
      <alignment horizontal="center" vertical="center"/>
      <protection locked="0"/>
    </xf>
    <xf numFmtId="4" fontId="0" fillId="0" borderId="0" xfId="0" applyNumberFormat="1" applyFill="1" applyBorder="1" applyAlignment="1" applyProtection="1">
      <alignment horizontal="center" vertical="center" wrapText="1"/>
      <protection locked="0"/>
    </xf>
    <xf numFmtId="0" fontId="6" fillId="0" borderId="0" xfId="0" applyNumberFormat="1" applyFont="1" applyFill="1" applyAlignment="1" applyProtection="1">
      <alignment horizontal="left" wrapText="1"/>
      <protection hidden="1"/>
    </xf>
    <xf numFmtId="0" fontId="0" fillId="0" borderId="0" xfId="0" applyNumberFormat="1" applyFill="1" applyAlignment="1">
      <alignment horizontal="center" wrapText="1"/>
    </xf>
    <xf numFmtId="0" fontId="1" fillId="0" borderId="0" xfId="0" applyFont="1">
      <alignment vertical="center"/>
    </xf>
    <xf numFmtId="165" fontId="2" fillId="0" borderId="0" xfId="0" applyNumberFormat="1" applyFont="1" applyFill="1" applyAlignment="1"/>
    <xf numFmtId="165" fontId="0" fillId="0" borderId="0" xfId="0" applyNumberFormat="1" applyFont="1" applyFill="1" applyAlignment="1">
      <alignment wrapText="1"/>
    </xf>
    <xf numFmtId="0" fontId="1" fillId="0" borderId="0" xfId="0" applyFont="1" applyProtection="1">
      <alignment vertical="center"/>
    </xf>
    <xf numFmtId="165" fontId="0" fillId="0" borderId="0" xfId="0" applyNumberFormat="1">
      <alignment vertical="center"/>
    </xf>
    <xf numFmtId="165" fontId="0" fillId="0" borderId="2" xfId="0" applyNumberFormat="1" applyFill="1" applyBorder="1" applyAlignment="1" applyProtection="1">
      <alignment horizontal="center" vertical="center"/>
      <protection locked="0"/>
    </xf>
    <xf numFmtId="0" fontId="0" fillId="0" borderId="0" xfId="0" applyProtection="1">
      <alignment vertical="center"/>
      <protection locked="0"/>
    </xf>
    <xf numFmtId="165" fontId="0" fillId="0" borderId="0" xfId="0" applyNumberFormat="1" applyFill="1" applyBorder="1" applyAlignment="1" applyProtection="1">
      <alignment horizontal="center" vertical="center"/>
      <protection locked="0"/>
    </xf>
    <xf numFmtId="0" fontId="0" fillId="0" borderId="0" xfId="0" applyFill="1">
      <alignment vertical="center"/>
    </xf>
    <xf numFmtId="0" fontId="1" fillId="4" borderId="0" xfId="0" applyNumberFormat="1" applyFont="1" applyFill="1" applyAlignment="1" applyProtection="1">
      <alignment horizontal="center" vertical="center" wrapText="1"/>
      <protection locked="0"/>
    </xf>
    <xf numFmtId="0" fontId="1" fillId="4" borderId="0" xfId="0" applyNumberFormat="1" applyFont="1" applyFill="1" applyAlignment="1">
      <alignment horizontal="center" vertical="center" wrapText="1"/>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right" wrapText="1"/>
    </xf>
    <xf numFmtId="0" fontId="9" fillId="0" borderId="0" xfId="0" applyNumberFormat="1" applyFont="1" applyFill="1" applyAlignment="1" applyProtection="1">
      <alignment horizontal="right" wrapText="1"/>
      <protection hidden="1"/>
    </xf>
    <xf numFmtId="2" fontId="1" fillId="3" borderId="0" xfId="0" applyNumberFormat="1" applyFont="1" applyFill="1" applyAlignment="1">
      <alignment horizontal="center" wrapText="1"/>
    </xf>
    <xf numFmtId="0" fontId="0" fillId="0" borderId="2" xfId="0" applyBorder="1">
      <alignment vertical="center"/>
    </xf>
    <xf numFmtId="2" fontId="1" fillId="0" borderId="2" xfId="1" applyNumberFormat="1" applyFont="1" applyFill="1" applyBorder="1" applyAlignment="1">
      <alignment horizontal="center" vertical="center" wrapText="1"/>
    </xf>
    <xf numFmtId="2" fontId="1" fillId="0" borderId="0" xfId="1" applyNumberFormat="1" applyFont="1" applyFill="1" applyBorder="1" applyAlignment="1" applyProtection="1">
      <alignment horizontal="center" vertical="center" wrapText="1"/>
      <protection hidden="1"/>
    </xf>
    <xf numFmtId="2" fontId="1" fillId="0" borderId="0" xfId="1" applyNumberFormat="1" applyFont="1" applyFill="1" applyBorder="1" applyAlignment="1">
      <alignment horizontal="center" vertical="center" wrapText="1"/>
    </xf>
    <xf numFmtId="2" fontId="1" fillId="0" borderId="7" xfId="1" applyNumberFormat="1" applyFont="1" applyFill="1" applyBorder="1" applyAlignment="1">
      <alignment horizontal="center" vertical="center" wrapText="1"/>
    </xf>
    <xf numFmtId="0" fontId="10" fillId="0" borderId="0" xfId="2">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0" fillId="0" borderId="0" xfId="0" applyAlignment="1">
      <alignment vertical="center" wrapText="1"/>
    </xf>
    <xf numFmtId="0" fontId="0" fillId="0" borderId="0" xfId="0" applyNumberFormat="1" applyFont="1" applyFill="1" applyAlignment="1">
      <alignment horizontal="right" vertical="center" wrapText="1"/>
    </xf>
    <xf numFmtId="0" fontId="1" fillId="0" borderId="0" xfId="0" applyNumberFormat="1" applyFont="1" applyFill="1" applyAlignment="1">
      <alignment horizontal="right" vertical="center" wrapText="1"/>
    </xf>
    <xf numFmtId="0" fontId="2" fillId="0" borderId="0" xfId="0" applyNumberFormat="1" applyFont="1" applyFill="1" applyAlignment="1">
      <alignment horizontal="right" vertical="center" wrapText="1"/>
    </xf>
    <xf numFmtId="165" fontId="0" fillId="0" borderId="0" xfId="0" applyNumberFormat="1" applyFill="1">
      <alignment vertical="center"/>
    </xf>
    <xf numFmtId="0" fontId="0" fillId="0" borderId="0" xfId="0" applyFill="1" applyAlignment="1">
      <alignment horizontal="right" vertical="center"/>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pplyAlignment="1">
      <alignment vertical="center"/>
    </xf>
    <xf numFmtId="0" fontId="2" fillId="0" borderId="0" xfId="0" applyNumberFormat="1" applyFont="1" applyFill="1"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0" borderId="0" xfId="0" applyNumberFormat="1" applyFont="1" applyFill="1" applyAlignment="1">
      <alignment horizontal="left" vertical="center" wrapText="1"/>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lignment vertical="center"/>
    </xf>
    <xf numFmtId="0" fontId="0" fillId="0" borderId="0" xfId="0" applyAlignment="1">
      <alignment horizontal="left" vertical="center"/>
    </xf>
    <xf numFmtId="0" fontId="2" fillId="0" borderId="0" xfId="0" applyFont="1" applyAlignment="1">
      <alignment horizontal="left" vertical="center" wrapText="1"/>
    </xf>
    <xf numFmtId="0" fontId="1" fillId="4" borderId="0" xfId="0" applyFont="1" applyFill="1" applyAlignment="1">
      <alignment horizontal="center" vertical="center"/>
    </xf>
    <xf numFmtId="0" fontId="1" fillId="5" borderId="0" xfId="0" applyFont="1" applyFill="1" applyAlignment="1">
      <alignment horizontal="center" vertical="center"/>
    </xf>
    <xf numFmtId="49" fontId="0" fillId="0" borderId="0" xfId="0" applyNumberFormat="1" applyAlignment="1" applyProtection="1">
      <alignment horizontal="right" vertical="center"/>
      <protection locked="0"/>
    </xf>
    <xf numFmtId="49" fontId="0" fillId="0" borderId="0" xfId="0" applyNumberFormat="1" applyAlignment="1" applyProtection="1">
      <alignment horizontal="right" vertical="center"/>
    </xf>
  </cellXfs>
  <cellStyles count="3">
    <cellStyle name="Comma" xfId="1" builtinId="3"/>
    <cellStyle name="Hyperlink" xfId="2" builtinId="8"/>
    <cellStyle name="Normal" xfId="0" builtinId="0"/>
  </cellStyles>
  <dxfs count="29">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DDDDDD"/>
      <rgbColor rgb="00FFFF00"/>
      <rgbColor rgb="00FFFFFF"/>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1</xdr:row>
          <xdr:rowOff>0</xdr:rowOff>
        </xdr:to>
        <xdr:sp macro="" textlink="">
          <xdr:nvSpPr>
            <xdr:cNvPr id="1189889" name="Button 1" hidden="1">
              <a:extLst>
                <a:ext uri="{63B3BB69-23CF-44E3-9099-C40C66FF867C}">
                  <a14:compatExt spid="_x0000_s11898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3</xdr:col>
          <xdr:colOff>0</xdr:colOff>
          <xdr:row>1</xdr:row>
          <xdr:rowOff>0</xdr:rowOff>
        </xdr:to>
        <xdr:sp macro="" textlink="">
          <xdr:nvSpPr>
            <xdr:cNvPr id="1189890" name="Button 2" hidden="1">
              <a:extLst>
                <a:ext uri="{63B3BB69-23CF-44E3-9099-C40C66FF867C}">
                  <a14:compatExt spid="_x0000_s1189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1189892" name="Button 4" hidden="1">
              <a:extLst>
                <a:ext uri="{63B3BB69-23CF-44E3-9099-C40C66FF867C}">
                  <a14:compatExt spid="_x0000_s11898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89893" name="Button 5" hidden="1">
              <a:extLst>
                <a:ext uri="{63B3BB69-23CF-44E3-9099-C40C66FF867C}">
                  <a14:compatExt spid="_x0000_s11898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0</xdr:row>
          <xdr:rowOff>0</xdr:rowOff>
        </xdr:from>
        <xdr:to>
          <xdr:col>7</xdr:col>
          <xdr:colOff>19050</xdr:colOff>
          <xdr:row>1</xdr:row>
          <xdr:rowOff>19050</xdr:rowOff>
        </xdr:to>
        <xdr:sp macro="" textlink="">
          <xdr:nvSpPr>
            <xdr:cNvPr id="1189901" name="btnInstructions" hidden="1">
              <a:extLst>
                <a:ext uri="{63B3BB69-23CF-44E3-9099-C40C66FF867C}">
                  <a14:compatExt spid="_x0000_s1189901"/>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193985" name="Button 1" hidden="1">
              <a:extLst>
                <a:ext uri="{63B3BB69-23CF-44E3-9099-C40C66FF867C}">
                  <a14:compatExt spid="_x0000_s11939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193986" name="Button 2" hidden="1">
              <a:extLst>
                <a:ext uri="{63B3BB69-23CF-44E3-9099-C40C66FF867C}">
                  <a14:compatExt spid="_x0000_s11939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193987" name="Button 3" hidden="1">
              <a:extLst>
                <a:ext uri="{63B3BB69-23CF-44E3-9099-C40C66FF867C}">
                  <a14:compatExt spid="_x0000_s11939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193988" name="Button 4" hidden="1">
              <a:extLst>
                <a:ext uri="{63B3BB69-23CF-44E3-9099-C40C66FF867C}">
                  <a14:compatExt spid="_x0000_s11939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93989" name="Button 5" hidden="1">
              <a:extLst>
                <a:ext uri="{63B3BB69-23CF-44E3-9099-C40C66FF867C}">
                  <a14:compatExt spid="_x0000_s11939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396737" name="Button 1" hidden="1">
              <a:extLst>
                <a:ext uri="{63B3BB69-23CF-44E3-9099-C40C66FF867C}">
                  <a14:compatExt spid="_x0000_s13967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396738" name="Button 2" hidden="1">
              <a:extLst>
                <a:ext uri="{63B3BB69-23CF-44E3-9099-C40C66FF867C}">
                  <a14:compatExt spid="_x0000_s13967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396739" name="Button 3" hidden="1">
              <a:extLst>
                <a:ext uri="{63B3BB69-23CF-44E3-9099-C40C66FF867C}">
                  <a14:compatExt spid="_x0000_s13967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396740" name="Button 4" hidden="1">
              <a:extLst>
                <a:ext uri="{63B3BB69-23CF-44E3-9099-C40C66FF867C}">
                  <a14:compatExt spid="_x0000_s13967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396741" name="Button 5" hidden="1">
              <a:extLst>
                <a:ext uri="{63B3BB69-23CF-44E3-9099-C40C66FF867C}">
                  <a14:compatExt spid="_x0000_s13967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3.vml"/><Relationship Id="rId7" Type="http://schemas.openxmlformats.org/officeDocument/2006/relationships/ctrlProp" Target="../ctrlProps/ctrlProp1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github.com/jakebathman/Time-Sheet-Planne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M195"/>
  <sheetViews>
    <sheetView tabSelected="1" zoomScale="110" zoomScaleNormal="110" workbookViewId="0">
      <selection activeCell="B3" sqref="B3"/>
    </sheetView>
  </sheetViews>
  <sheetFormatPr defaultColWidth="17.140625" defaultRowHeight="12.75" customHeight="1" x14ac:dyDescent="0.2"/>
  <cols>
    <col min="1" max="1" width="12.85546875" customWidth="1"/>
    <col min="2" max="7" width="11.42578125" customWidth="1"/>
    <col min="8" max="8" width="5.28515625" customWidth="1"/>
    <col min="9" max="9" width="3" hidden="1" customWidth="1"/>
    <col min="10" max="10" width="1.7109375" hidden="1" customWidth="1"/>
    <col min="11" max="11" width="23.42578125" customWidth="1"/>
    <col min="12" max="12" width="56.85546875" bestFit="1" customWidth="1"/>
    <col min="13" max="13" width="25" customWidth="1"/>
    <col min="14" max="23" width="17.140625" customWidth="1"/>
  </cols>
  <sheetData>
    <row r="1" spans="1:13" ht="51" x14ac:dyDescent="0.2">
      <c r="A1" s="69" t="s">
        <v>103</v>
      </c>
      <c r="B1" s="68">
        <v>40</v>
      </c>
    </row>
    <row r="2" spans="1:13" ht="26.25" thickBot="1" x14ac:dyDescent="0.25">
      <c r="A2" s="85"/>
      <c r="B2" s="2" t="s">
        <v>4</v>
      </c>
      <c r="C2" s="2" t="s">
        <v>11</v>
      </c>
      <c r="D2" s="2" t="s">
        <v>13</v>
      </c>
      <c r="E2" s="2" t="s">
        <v>0</v>
      </c>
      <c r="F2" s="2" t="s">
        <v>4</v>
      </c>
      <c r="G2" s="2" t="s">
        <v>0</v>
      </c>
      <c r="H2" s="2" t="s">
        <v>105</v>
      </c>
      <c r="I2" s="58"/>
      <c r="J2" s="2"/>
      <c r="K2" s="3" t="s">
        <v>104</v>
      </c>
      <c r="L2" s="16" t="s">
        <v>16</v>
      </c>
      <c r="M2" s="12" t="s">
        <v>18</v>
      </c>
    </row>
    <row r="3" spans="1:13" ht="12.75" customHeight="1" x14ac:dyDescent="0.2">
      <c r="A3" s="87" t="s">
        <v>9</v>
      </c>
      <c r="B3" s="20"/>
      <c r="C3" s="21"/>
      <c r="D3" s="21"/>
      <c r="E3" s="21"/>
      <c r="F3" s="21"/>
      <c r="G3" s="64"/>
      <c r="H3" s="22"/>
      <c r="I3" s="23"/>
      <c r="J3" s="24" t="str">
        <f>IF(OR(I3="comp",I3="cat",I3="pto",I3=""),"",I3)</f>
        <v/>
      </c>
      <c r="K3" s="77"/>
      <c r="L3" s="26" t="str">
        <f t="shared" ref="L3:L8" si="0">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27"/>
    </row>
    <row r="4" spans="1:13" ht="12.75" customHeight="1" x14ac:dyDescent="0.2">
      <c r="A4" s="87" t="s">
        <v>10</v>
      </c>
      <c r="B4" s="36"/>
      <c r="C4" s="37"/>
      <c r="D4" s="37"/>
      <c r="E4" s="37"/>
      <c r="F4" s="66"/>
      <c r="G4" s="37"/>
      <c r="H4" s="30"/>
      <c r="I4" s="32"/>
      <c r="J4" s="38" t="str">
        <f t="shared" ref="J4:J9" si="1">IF(OR(I4="comp",I4="cat",I4="pto",I4=""),"",I4)</f>
        <v/>
      </c>
      <c r="K4" s="79"/>
      <c r="L4" s="34" t="str">
        <f t="shared" si="0"/>
        <v/>
      </c>
      <c r="M4" s="40"/>
    </row>
    <row r="5" spans="1:13" ht="12.75" customHeight="1" x14ac:dyDescent="0.2">
      <c r="A5" s="87" t="s">
        <v>12</v>
      </c>
      <c r="B5" s="36"/>
      <c r="C5" s="37"/>
      <c r="D5" s="37"/>
      <c r="E5" s="37"/>
      <c r="F5" s="37"/>
      <c r="G5" s="37"/>
      <c r="H5" s="30"/>
      <c r="I5" s="32"/>
      <c r="J5" s="38" t="str">
        <f t="shared" si="1"/>
        <v/>
      </c>
      <c r="K5" s="79"/>
      <c r="L5" s="34" t="str">
        <f t="shared" si="0"/>
        <v/>
      </c>
      <c r="M5" s="40"/>
    </row>
    <row r="6" spans="1:13" ht="12.75" customHeight="1" x14ac:dyDescent="0.2">
      <c r="A6" s="87" t="s">
        <v>8</v>
      </c>
      <c r="B6" s="36"/>
      <c r="C6" s="37"/>
      <c r="D6" s="37"/>
      <c r="E6" s="37"/>
      <c r="F6" s="37"/>
      <c r="G6" s="37"/>
      <c r="H6" s="30"/>
      <c r="I6" s="32"/>
      <c r="J6" s="38" t="str">
        <f t="shared" si="1"/>
        <v/>
      </c>
      <c r="K6" s="79"/>
      <c r="L6" s="34" t="str">
        <f t="shared" si="0"/>
        <v/>
      </c>
      <c r="M6" s="40"/>
    </row>
    <row r="7" spans="1:13" ht="12.75" customHeight="1" x14ac:dyDescent="0.2">
      <c r="A7" s="87" t="s">
        <v>14</v>
      </c>
      <c r="B7" s="36"/>
      <c r="C7" s="37"/>
      <c r="D7" s="37"/>
      <c r="E7" s="37"/>
      <c r="F7" s="37"/>
      <c r="G7" s="37"/>
      <c r="H7" s="56"/>
      <c r="I7" s="32"/>
      <c r="J7" s="38" t="str">
        <f t="shared" si="1"/>
        <v/>
      </c>
      <c r="K7" s="79"/>
      <c r="L7" s="34" t="str">
        <f t="shared" si="0"/>
        <v/>
      </c>
      <c r="M7" s="40"/>
    </row>
    <row r="8" spans="1:13" ht="12.75" customHeight="1" x14ac:dyDescent="0.2">
      <c r="A8" s="86" t="s">
        <v>7</v>
      </c>
      <c r="B8" s="36"/>
      <c r="C8" s="37"/>
      <c r="D8" s="37"/>
      <c r="E8" s="37"/>
      <c r="F8" s="37"/>
      <c r="G8" s="37"/>
      <c r="H8" s="56"/>
      <c r="I8" s="32"/>
      <c r="J8" s="38" t="str">
        <f t="shared" si="1"/>
        <v/>
      </c>
      <c r="K8" s="79"/>
      <c r="L8" s="34" t="str">
        <f t="shared" si="0"/>
        <v/>
      </c>
      <c r="M8" s="40"/>
    </row>
    <row r="9" spans="1:13" s="11" customFormat="1" ht="12.75" customHeight="1" thickBot="1" x14ac:dyDescent="0.25">
      <c r="A9" s="88" t="s">
        <v>93</v>
      </c>
      <c r="B9" s="41"/>
      <c r="C9" s="42"/>
      <c r="D9" s="42"/>
      <c r="E9" s="42"/>
      <c r="F9" s="42"/>
      <c r="G9" s="42"/>
      <c r="H9" s="43"/>
      <c r="I9" s="44"/>
      <c r="J9" s="45" t="str">
        <f t="shared" si="1"/>
        <v/>
      </c>
      <c r="K9" s="80"/>
      <c r="L9" s="47" t="str">
        <f>CONCATENATE(IF(ISODD(COUNTA(B9:G9)),"&lt;--- Incorrect or incomplete entries. ",""),IF(H9&gt;0," You've entered time off for Saturday. Are you sure?",""),IF(AND(OR(E9&lt;B9,D9&lt;C9,G9&lt;F9,AND(F9&lt;B9,F9&gt;0),AND(G9&lt;B9,G9&gt;0),C9&lt;B9),ISEVEN(COUNTA(B9:G9)),COUNTA(B9:G9)&gt;2),"Make sure to enter time in 24-hour format (e.g. 15:45 for 3:45pm)",""))</f>
        <v/>
      </c>
      <c r="M9" s="48"/>
    </row>
    <row r="10" spans="1:13" x14ac:dyDescent="0.2">
      <c r="A10" s="73"/>
      <c r="B10" s="60"/>
      <c r="C10" s="61"/>
      <c r="D10" s="61"/>
      <c r="E10" s="61"/>
      <c r="F10" s="61"/>
      <c r="G10" s="61"/>
      <c r="H10" s="5"/>
      <c r="I10" s="2"/>
      <c r="J10" s="2"/>
      <c r="K10" s="75">
        <f>SUM(K3:K9)</f>
        <v>0</v>
      </c>
      <c r="L10" s="26" t="str">
        <f>CONCATENATE(IF(ISODD(COUNTA(B10:G10)),"&lt;--- Incorrect or incomplete entries. ",""),IF(H10&gt;0," You've entered time off for Saturday. Are you sure?",""),IF(AND(OR(E10&lt;B10,D10&lt;C10,G10&lt;F10,AND(F10&lt;B10,F10&gt;0),AND(G10&lt;B10,G10&gt;0),C10&lt;B10),ISEVEN(COUNTA(B10:G10)),COUNTA(B10:G10)&gt;2),"Make sure to enter time in 24-hour format (e.g. 15:45 for 3:45pm)",""))</f>
        <v/>
      </c>
      <c r="M10" s="76"/>
    </row>
    <row r="11" spans="1:13" ht="54.75" customHeight="1" x14ac:dyDescent="0.2">
      <c r="B11" s="6"/>
      <c r="C11" s="6"/>
      <c r="D11" s="6"/>
      <c r="E11" s="6"/>
      <c r="F11" s="6"/>
      <c r="G11" s="6"/>
      <c r="H11" s="5"/>
      <c r="I11" s="2"/>
      <c r="J11" s="2"/>
      <c r="K11" s="13" t="str">
        <f>IF((K10=B1),"",IF((K10&lt;B1),CONCATENATE("You're short: need to use ",MROUND((B1-K10),0.25)," hrs. of comp time or PTO"),IF('User Preferences'!B7=0,"You're over on time, but you are ineligible for comp time accrual.",CONCATENATE("Gained ",MROUND((ABS((B1-K10))*'User Preferences'!B7),0.005)," hrs. of comp time"))))</f>
        <v>You're short: need to use 40 hrs. of comp time or PTO</v>
      </c>
      <c r="L11" s="17" t="str">
        <f>CONCATENATE(IF(COUNTIF(K3:K7,"&gt;" &amp;0)=5,"","NOTE: Not all time entries have been filled for Monday through Friday. Check entries for errors. "),IF(AND((K10-B1)&gt;0,H12&gt;0, H12&lt;&gt;""),"Woah, look out! You've used some time off, but gained "&amp; MROUND((ABS((B1-K10))*'User Preferences'!B7),0.005) &amp; " hrs. of comp time. Check those entries.",""))</f>
        <v xml:space="preserve">NOTE: Not all time entries have been filled for Monday through Friday. Check entries for errors. </v>
      </c>
    </row>
    <row r="12" spans="1:13" x14ac:dyDescent="0.2">
      <c r="B12" s="67"/>
      <c r="C12" s="67"/>
      <c r="D12" s="67"/>
      <c r="E12" s="67"/>
      <c r="F12" s="67"/>
      <c r="G12" s="1" t="str">
        <f>IF((SUM(H3:H9)=0),"","Total time off used")</f>
        <v/>
      </c>
      <c r="H12" s="8" t="str">
        <f>IF((G12=""),"",CONCATENATE(SUM(H3:H7)," hours"))</f>
        <v/>
      </c>
      <c r="I12" s="5"/>
      <c r="J12" s="5"/>
      <c r="K12" s="3" t="str">
        <f>IF(SUM(H3:H9)&gt;=(B1*0.8),"Vacation week, huh?","")</f>
        <v/>
      </c>
      <c r="L12" s="4"/>
    </row>
    <row r="13" spans="1:13" x14ac:dyDescent="0.2">
      <c r="B13" s="89"/>
      <c r="C13" s="6"/>
      <c r="D13" s="6"/>
      <c r="E13" s="6"/>
      <c r="F13" s="67"/>
      <c r="G13" s="90" t="str">
        <f>IF(G12="","","Comp")</f>
        <v/>
      </c>
      <c r="H13" s="15" t="str">
        <f>IF(G13="","",IF(SUMIF(I3:I9,"comp",H3:H9)=0,"none",SUMIF(I3:I9,"comp",H3:H9)))</f>
        <v/>
      </c>
      <c r="K13" s="3" t="str">
        <f>IF(OR(K10=0,K10&gt;=B1),"",IF(ISBLANK(B7)=FALSE,"",CONCATENATE("On track for ~", ((COUNTBLANK(K3:K7)-4)*MROUND(AVERAGE(K3:K7),0.25))+K10," hrs. total")))</f>
        <v/>
      </c>
      <c r="L13" s="19"/>
    </row>
    <row r="14" spans="1:13" x14ac:dyDescent="0.2">
      <c r="A14" s="91"/>
      <c r="B14" s="92"/>
      <c r="C14" s="92"/>
      <c r="D14" s="71"/>
      <c r="G14" s="14" t="str">
        <f>IF(G12="","","PTO")</f>
        <v/>
      </c>
      <c r="H14" s="15" t="str">
        <f>IF(G14="","",IF(SUMIF(I3:I9,"pto",H3:H9)=0,"none",SUMIF(I3:I9,"pto",H3:H9)))</f>
        <v/>
      </c>
      <c r="K14" s="3"/>
      <c r="L14" s="4"/>
    </row>
    <row r="15" spans="1:13" x14ac:dyDescent="0.2">
      <c r="B15" s="67"/>
      <c r="G15" s="14" t="str">
        <f>IF(G12="","","Catastrophic")</f>
        <v/>
      </c>
      <c r="H15" s="15" t="str">
        <f>IF(G15="","",IF(SUMIF(I3:I9,"cat",H3:H9)=0,"none",SUMIF(I3:I9,"cat",H3:H9)))</f>
        <v/>
      </c>
      <c r="K15" s="3"/>
      <c r="L15" s="4"/>
    </row>
    <row r="16" spans="1:13" x14ac:dyDescent="0.2">
      <c r="A16" s="1"/>
      <c r="B16" s="2"/>
      <c r="G16" s="14"/>
      <c r="H16" s="18"/>
      <c r="I16" s="15"/>
      <c r="K16" s="3"/>
      <c r="L16" s="4"/>
    </row>
    <row r="17" spans="1:12" x14ac:dyDescent="0.2">
      <c r="A17" s="1"/>
      <c r="B17" s="2"/>
      <c r="K17" s="3"/>
      <c r="L17" s="4"/>
    </row>
    <row r="18" spans="1:12" x14ac:dyDescent="0.2">
      <c r="A18" s="1"/>
      <c r="B18" s="12"/>
      <c r="C18" s="93"/>
      <c r="D18" s="94"/>
      <c r="E18" s="94"/>
      <c r="F18" s="94"/>
      <c r="G18" s="94"/>
      <c r="H18" s="94"/>
      <c r="I18" s="94"/>
      <c r="J18" s="72"/>
      <c r="K18" s="3"/>
      <c r="L18" s="4"/>
    </row>
    <row r="19" spans="1:12" x14ac:dyDescent="0.2">
      <c r="A19" s="1"/>
      <c r="B19" s="9"/>
      <c r="C19" s="93"/>
      <c r="D19" s="94"/>
      <c r="E19" s="94"/>
      <c r="F19" s="94"/>
      <c r="K19" s="3"/>
      <c r="L19" s="4"/>
    </row>
    <row r="20" spans="1:12" x14ac:dyDescent="0.2">
      <c r="K20" s="3"/>
      <c r="L20" s="4"/>
    </row>
    <row r="21" spans="1:12" x14ac:dyDescent="0.2">
      <c r="K21" s="3"/>
      <c r="L21" s="4"/>
    </row>
    <row r="22" spans="1:12" x14ac:dyDescent="0.2">
      <c r="A22" s="10"/>
      <c r="B22" s="95"/>
      <c r="C22" s="95"/>
      <c r="D22" s="95"/>
      <c r="E22" s="95"/>
      <c r="F22" s="95"/>
      <c r="G22" s="96"/>
      <c r="H22" s="96"/>
      <c r="K22" s="3"/>
      <c r="L22" s="4"/>
    </row>
    <row r="23" spans="1:12" x14ac:dyDescent="0.2">
      <c r="B23" s="97"/>
      <c r="C23" s="97"/>
      <c r="D23" s="97"/>
      <c r="E23" s="97"/>
      <c r="F23" s="97"/>
      <c r="G23" s="97"/>
      <c r="H23" s="97"/>
      <c r="K23" s="3"/>
      <c r="L23" s="4"/>
    </row>
    <row r="24" spans="1:12" x14ac:dyDescent="0.2">
      <c r="B24" s="95"/>
      <c r="C24" s="95"/>
      <c r="D24" s="95"/>
      <c r="E24" s="95"/>
      <c r="F24" s="95"/>
      <c r="G24" s="95"/>
      <c r="H24" s="95"/>
      <c r="K24" s="3"/>
      <c r="L24" s="4"/>
    </row>
    <row r="25" spans="1:12" x14ac:dyDescent="0.2">
      <c r="B25" s="95"/>
      <c r="C25" s="95"/>
      <c r="D25" s="95"/>
      <c r="E25" s="95"/>
      <c r="F25" s="95"/>
      <c r="G25" s="95"/>
      <c r="H25" s="95"/>
      <c r="K25" s="3"/>
      <c r="L25" s="4"/>
    </row>
    <row r="26" spans="1:12" x14ac:dyDescent="0.2">
      <c r="K26" s="3"/>
      <c r="L26" s="4"/>
    </row>
    <row r="27" spans="1:12" x14ac:dyDescent="0.2">
      <c r="K27" s="3"/>
      <c r="L27" s="4"/>
    </row>
    <row r="28" spans="1:12" x14ac:dyDescent="0.2">
      <c r="K28" s="3"/>
      <c r="L28" s="4"/>
    </row>
    <row r="29" spans="1:12" x14ac:dyDescent="0.2">
      <c r="K29" s="3"/>
      <c r="L29" s="4"/>
    </row>
    <row r="30" spans="1:12" x14ac:dyDescent="0.2">
      <c r="K30" s="3"/>
      <c r="L30" s="4"/>
    </row>
    <row r="31" spans="1:12" x14ac:dyDescent="0.2">
      <c r="K31" s="3"/>
      <c r="L31" s="4"/>
    </row>
    <row r="32" spans="1:12" x14ac:dyDescent="0.2">
      <c r="K32" s="3"/>
      <c r="L32" s="4"/>
    </row>
    <row r="33" spans="11:12" x14ac:dyDescent="0.2">
      <c r="K33" s="3"/>
      <c r="L33" s="4"/>
    </row>
    <row r="34" spans="11:12" x14ac:dyDescent="0.2">
      <c r="K34" s="3"/>
      <c r="L34" s="4"/>
    </row>
    <row r="35" spans="11:12" x14ac:dyDescent="0.2">
      <c r="K35" s="3"/>
      <c r="L35" s="4"/>
    </row>
    <row r="36" spans="11:12" x14ac:dyDescent="0.2">
      <c r="K36" s="3"/>
      <c r="L36" s="4"/>
    </row>
    <row r="37" spans="11:12" x14ac:dyDescent="0.2">
      <c r="K37" s="3"/>
      <c r="L37" s="4"/>
    </row>
    <row r="38" spans="11:12" x14ac:dyDescent="0.2">
      <c r="K38" s="3"/>
      <c r="L38" s="4"/>
    </row>
    <row r="39" spans="11:12" x14ac:dyDescent="0.2">
      <c r="K39" s="3"/>
      <c r="L39" s="4"/>
    </row>
    <row r="40" spans="11:12" x14ac:dyDescent="0.2">
      <c r="K40" s="3"/>
      <c r="L40" s="4"/>
    </row>
    <row r="41" spans="11:12" x14ac:dyDescent="0.2">
      <c r="K41" s="3"/>
      <c r="L41" s="4"/>
    </row>
    <row r="42" spans="11:12" x14ac:dyDescent="0.2">
      <c r="K42" s="3"/>
      <c r="L42" s="4"/>
    </row>
    <row r="43" spans="11:12" x14ac:dyDescent="0.2">
      <c r="K43" s="3"/>
      <c r="L43" s="4"/>
    </row>
    <row r="44" spans="11:12" x14ac:dyDescent="0.2">
      <c r="K44" s="3"/>
      <c r="L44" s="4"/>
    </row>
    <row r="45" spans="11:12" x14ac:dyDescent="0.2">
      <c r="K45" s="3"/>
      <c r="L45" s="4"/>
    </row>
    <row r="46" spans="11:12" x14ac:dyDescent="0.2">
      <c r="K46" s="3"/>
      <c r="L46" s="4"/>
    </row>
    <row r="47" spans="11:12" x14ac:dyDescent="0.2">
      <c r="K47" s="3"/>
      <c r="L47" s="4"/>
    </row>
    <row r="48" spans="11:12" x14ac:dyDescent="0.2">
      <c r="K48" s="3"/>
      <c r="L48" s="4"/>
    </row>
    <row r="49" spans="11:12" x14ac:dyDescent="0.2">
      <c r="K49" s="3"/>
      <c r="L49" s="4"/>
    </row>
    <row r="50" spans="11:12" x14ac:dyDescent="0.2">
      <c r="K50" s="3"/>
      <c r="L50" s="4"/>
    </row>
    <row r="51" spans="11:12" x14ac:dyDescent="0.2">
      <c r="K51" s="3"/>
      <c r="L51" s="4"/>
    </row>
    <row r="52" spans="11:12" x14ac:dyDescent="0.2">
      <c r="K52" s="3"/>
      <c r="L52" s="4"/>
    </row>
    <row r="53" spans="11:12" x14ac:dyDescent="0.2">
      <c r="K53" s="3"/>
      <c r="L53" s="4"/>
    </row>
    <row r="54" spans="11:12" x14ac:dyDescent="0.2">
      <c r="K54" s="3"/>
      <c r="L54" s="4"/>
    </row>
    <row r="55" spans="11:12" x14ac:dyDescent="0.2">
      <c r="K55" s="3"/>
      <c r="L55" s="4"/>
    </row>
    <row r="56" spans="11:12" x14ac:dyDescent="0.2">
      <c r="K56" s="3"/>
      <c r="L56" s="4"/>
    </row>
    <row r="57" spans="11:12" x14ac:dyDescent="0.2">
      <c r="K57" s="3"/>
      <c r="L57" s="4"/>
    </row>
    <row r="58" spans="11:12" x14ac:dyDescent="0.2">
      <c r="K58" s="3"/>
      <c r="L58" s="4"/>
    </row>
    <row r="59" spans="11:12" x14ac:dyDescent="0.2">
      <c r="K59" s="3"/>
      <c r="L59" s="4"/>
    </row>
    <row r="60" spans="11:12" x14ac:dyDescent="0.2">
      <c r="K60" s="3"/>
      <c r="L60" s="4"/>
    </row>
    <row r="61" spans="11:12" x14ac:dyDescent="0.2">
      <c r="K61" s="3"/>
      <c r="L61" s="4"/>
    </row>
    <row r="62" spans="11:12" x14ac:dyDescent="0.2">
      <c r="K62" s="3"/>
      <c r="L62" s="4"/>
    </row>
    <row r="63" spans="11:12" x14ac:dyDescent="0.2">
      <c r="K63" s="3"/>
      <c r="L63" s="4"/>
    </row>
    <row r="64" spans="11:12" x14ac:dyDescent="0.2">
      <c r="K64" s="3"/>
      <c r="L64" s="4"/>
    </row>
    <row r="65" spans="11:12" x14ac:dyDescent="0.2">
      <c r="K65" s="3"/>
      <c r="L65" s="4"/>
    </row>
    <row r="66" spans="11:12" x14ac:dyDescent="0.2">
      <c r="K66" s="3"/>
      <c r="L66" s="4"/>
    </row>
    <row r="67" spans="11:12" x14ac:dyDescent="0.2">
      <c r="K67" s="3"/>
      <c r="L67" s="4"/>
    </row>
    <row r="68" spans="11:12" x14ac:dyDescent="0.2">
      <c r="K68" s="3"/>
      <c r="L68" s="4"/>
    </row>
    <row r="69" spans="11:12" x14ac:dyDescent="0.2">
      <c r="K69" s="3"/>
      <c r="L69" s="4"/>
    </row>
    <row r="70" spans="11:12"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95" spans="3:3" ht="12.75" customHeight="1" x14ac:dyDescent="0.2">
      <c r="C195" s="67"/>
    </row>
  </sheetData>
  <dataConsolidate/>
  <conditionalFormatting sqref="A14:C14">
    <cfRule type="cellIs" dxfId="28" priority="9" stopIfTrue="1" operator="notEqual">
      <formula>""</formula>
    </cfRule>
  </conditionalFormatting>
  <conditionalFormatting sqref="A19:B19">
    <cfRule type="cellIs" dxfId="27" priority="8" stopIfTrue="1" operator="notEqual">
      <formula>""</formula>
    </cfRule>
  </conditionalFormatting>
  <conditionalFormatting sqref="H3:I7">
    <cfRule type="containsBlanks" dxfId="26" priority="10" stopIfTrue="1">
      <formula>LEN(TRIM(H3))=0</formula>
    </cfRule>
  </conditionalFormatting>
  <conditionalFormatting sqref="B3:C3 E3:G3 B4 D4:G4 B5:G7">
    <cfRule type="containsBlanks" dxfId="25" priority="7" stopIfTrue="1">
      <formula>LEN(TRIM(B3))=0</formula>
    </cfRule>
  </conditionalFormatting>
  <conditionalFormatting sqref="D3">
    <cfRule type="containsBlanks" dxfId="24" priority="6" stopIfTrue="1">
      <formula>LEN(TRIM(D3))=0</formula>
    </cfRule>
  </conditionalFormatting>
  <conditionalFormatting sqref="H9:I9">
    <cfRule type="containsBlanks" dxfId="23" priority="5" stopIfTrue="1">
      <formula>LEN(TRIM(H9))=0</formula>
    </cfRule>
  </conditionalFormatting>
  <conditionalFormatting sqref="B9:G9">
    <cfRule type="containsBlanks" dxfId="22" priority="4" stopIfTrue="1">
      <formula>LEN(TRIM(B9))=0</formula>
    </cfRule>
  </conditionalFormatting>
  <conditionalFormatting sqref="H8:I8">
    <cfRule type="containsBlanks" dxfId="21" priority="3" stopIfTrue="1">
      <formula>LEN(TRIM(H8))=0</formula>
    </cfRule>
  </conditionalFormatting>
  <conditionalFormatting sqref="B8:G8">
    <cfRule type="containsBlanks" dxfId="20" priority="2" stopIfTrue="1">
      <formula>LEN(TRIM(B8))=0</formula>
    </cfRule>
  </conditionalFormatting>
  <conditionalFormatting sqref="C4">
    <cfRule type="containsBlanks" dxfId="19" priority="1" stopIfTrue="1">
      <formula>LEN(TRIM(C4))=0</formula>
    </cfRule>
  </conditionalFormatting>
  <pageMargins left="0.75" right="0.75" top="1" bottom="1" header="0.5" footer="0.5"/>
  <pageSetup paperSize="9" orientation="portrait" horizontalDpi="300" verticalDpi="300" r:id="rId1"/>
  <headerFooter alignWithMargins="0"/>
  <ignoredErrors>
    <ignoredError sqref="K13" formulaRange="1"/>
  </ignoredErrors>
  <drawing r:id="rId2"/>
  <legacyDrawing r:id="rId3"/>
  <controls>
    <mc:AlternateContent xmlns:mc="http://schemas.openxmlformats.org/markup-compatibility/2006">
      <mc:Choice Requires="x14">
        <control shapeId="1189901" r:id="rId4" name="btnInstructions">
          <controlPr autoLine="0" r:id="rId5">
            <anchor moveWithCells="1">
              <from>
                <xdr:col>6</xdr:col>
                <xdr:colOff>9525</xdr:colOff>
                <xdr:row>0</xdr:row>
                <xdr:rowOff>0</xdr:rowOff>
              </from>
              <to>
                <xdr:col>7</xdr:col>
                <xdr:colOff>19050</xdr:colOff>
                <xdr:row>1</xdr:row>
                <xdr:rowOff>19050</xdr:rowOff>
              </to>
            </anchor>
          </controlPr>
        </control>
      </mc:Choice>
      <mc:Fallback>
        <control shapeId="1189901" r:id="rId4" name="btnInstructions"/>
      </mc:Fallback>
    </mc:AlternateContent>
    <mc:AlternateContent xmlns:mc="http://schemas.openxmlformats.org/markup-compatibility/2006">
      <mc:Choice Requires="x14">
        <control shapeId="1189889" r:id="rId6" name="Button 1">
          <controlPr defaultSize="0" print="0" autoFill="0" autoPict="0" macro="[0]!clearstuff">
            <anchor moveWithCells="1" sizeWithCells="1">
              <from>
                <xdr:col>4</xdr:col>
                <xdr:colOff>0</xdr:colOff>
                <xdr:row>0</xdr:row>
                <xdr:rowOff>0</xdr:rowOff>
              </from>
              <to>
                <xdr:col>5</xdr:col>
                <xdr:colOff>0</xdr:colOff>
                <xdr:row>1</xdr:row>
                <xdr:rowOff>0</xdr:rowOff>
              </to>
            </anchor>
          </controlPr>
        </control>
      </mc:Choice>
    </mc:AlternateContent>
    <mc:AlternateContent xmlns:mc="http://schemas.openxmlformats.org/markup-compatibility/2006">
      <mc:Choice Requires="x14">
        <control shapeId="1189890" r:id="rId7" name="Button 2">
          <controlPr defaultSize="0" print="0" autoFill="0" autoPict="0" macro="[0]!PeopeSoftImport">
            <anchor moveWithCells="1" sizeWithCells="1">
              <from>
                <xdr:col>2</xdr:col>
                <xdr:colOff>0</xdr:colOff>
                <xdr:row>0</xdr:row>
                <xdr:rowOff>0</xdr:rowOff>
              </from>
              <to>
                <xdr:col>3</xdr:col>
                <xdr:colOff>0</xdr:colOff>
                <xdr:row>1</xdr:row>
                <xdr:rowOff>0</xdr:rowOff>
              </to>
            </anchor>
          </controlPr>
        </control>
      </mc:Choice>
    </mc:AlternateContent>
    <mc:AlternateContent xmlns:mc="http://schemas.openxmlformats.org/markup-compatibility/2006">
      <mc:Choice Requires="x14">
        <control shapeId="1189892" r:id="rId8" name="Button 4">
          <controlPr defaultSize="0" print="0" autoFill="0" autoPict="0" macro="[0]!EmailTimes">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1189893" r:id="rId9"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M200"/>
  <sheetViews>
    <sheetView zoomScale="115" zoomScaleNormal="115" workbookViewId="0">
      <selection activeCell="B3" sqref="B3"/>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70"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c r="C3" s="21"/>
      <c r="D3" s="21"/>
      <c r="E3" s="21"/>
      <c r="F3" s="21"/>
      <c r="G3" s="64"/>
      <c r="H3" s="22"/>
      <c r="I3" s="23"/>
      <c r="J3" s="24" t="str">
        <f>IF(OR(I3="comp",I3="cat",I3="pto",I3=""),"",I3)</f>
        <v/>
      </c>
      <c r="K3" s="25">
        <v>10.75</v>
      </c>
      <c r="L3" s="26" t="str">
        <f>IF(COUNTA(B3:G3)=0,"",CONCATENATE(IF((K3=""),"&lt;--- Incorrect or incomplete entries. ",""),IF(AND(K3&gt;8,H3&gt;0)," You're over 8 hours and have entered time off. Are you sure?",""),IF(AND(OR(F3&lt;B3,E3&lt;C3,#REF!&lt;G3,AND(G3&lt;B3,G3&gt;0),AND(#REF!&lt;B3,#REF!&gt;0)),ISEVEN(COUNTA(B3:G3)),COUNTA(B3:G3)&gt;2),"Make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33"/>
      <c r="L4" s="34"/>
      <c r="M4" s="35"/>
    </row>
    <row r="5" spans="1:13" ht="12.75" customHeight="1" x14ac:dyDescent="0.2">
      <c r="A5" s="1" t="s">
        <v>10</v>
      </c>
      <c r="B5" s="36"/>
      <c r="C5" s="37"/>
      <c r="D5" s="37"/>
      <c r="E5" s="66"/>
      <c r="F5" s="37"/>
      <c r="G5" s="37"/>
      <c r="H5" s="30"/>
      <c r="I5" s="32"/>
      <c r="J5" s="38" t="str">
        <f t="shared" si="0"/>
        <v/>
      </c>
      <c r="K5" s="39">
        <v>4.75</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33"/>
      <c r="L6" s="34"/>
      <c r="M6" s="35"/>
    </row>
    <row r="7" spans="1:13" ht="12.75" customHeight="1" x14ac:dyDescent="0.2">
      <c r="A7" s="1" t="s">
        <v>12</v>
      </c>
      <c r="B7" s="36"/>
      <c r="C7" s="37"/>
      <c r="D7" s="37"/>
      <c r="E7" s="37"/>
      <c r="F7" s="37"/>
      <c r="G7" s="37"/>
      <c r="H7" s="30"/>
      <c r="I7" s="32"/>
      <c r="J7" s="38" t="str">
        <f t="shared" si="0"/>
        <v/>
      </c>
      <c r="K7" s="39">
        <v>10</v>
      </c>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33"/>
      <c r="L8" s="34"/>
      <c r="M8" s="35"/>
    </row>
    <row r="9" spans="1:13" ht="12.75" customHeight="1" x14ac:dyDescent="0.2">
      <c r="A9" s="1" t="s">
        <v>8</v>
      </c>
      <c r="B9" s="36"/>
      <c r="C9" s="37"/>
      <c r="D9" s="37"/>
      <c r="E9" s="37"/>
      <c r="F9" s="37"/>
      <c r="G9" s="37"/>
      <c r="H9" s="30"/>
      <c r="I9" s="32"/>
      <c r="J9" s="38" t="str">
        <f t="shared" si="0"/>
        <v/>
      </c>
      <c r="K9" s="39">
        <v>7.25</v>
      </c>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33"/>
      <c r="L10" s="34"/>
      <c r="M10" s="35"/>
    </row>
    <row r="11" spans="1:13" ht="12.75" customHeight="1" x14ac:dyDescent="0.2">
      <c r="A11" s="1" t="s">
        <v>14</v>
      </c>
      <c r="B11" s="36"/>
      <c r="C11" s="37"/>
      <c r="D11" s="37"/>
      <c r="E11" s="37"/>
      <c r="F11" s="37"/>
      <c r="G11" s="37"/>
      <c r="H11" s="56"/>
      <c r="I11" s="32"/>
      <c r="J11" s="38" t="str">
        <f t="shared" si="0"/>
        <v/>
      </c>
      <c r="K11" s="39">
        <v>7.25</v>
      </c>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33"/>
      <c r="L12" s="34"/>
      <c r="M12" s="35"/>
    </row>
    <row r="13" spans="1:13" ht="12.75" customHeight="1" x14ac:dyDescent="0.2">
      <c r="A13" s="7" t="s">
        <v>7</v>
      </c>
      <c r="B13" s="36"/>
      <c r="C13" s="37"/>
      <c r="D13" s="37"/>
      <c r="E13" s="37"/>
      <c r="F13" s="37"/>
      <c r="G13" s="37"/>
      <c r="H13" s="56"/>
      <c r="I13" s="32"/>
      <c r="J13" s="38" t="str">
        <f t="shared" si="0"/>
        <v/>
      </c>
      <c r="K13" s="39">
        <v>7.25</v>
      </c>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46"/>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47.25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Gained 10.875 hrs. of comp time</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
      </c>
      <c r="L18" s="19"/>
    </row>
    <row r="19" spans="1:12" ht="12.75" customHeight="1" x14ac:dyDescent="0.2">
      <c r="A19" s="99" t="str">
        <f>IF(K15&gt;=B1,"",IF(AND(COUNTIF(K3:K11,"&gt;=4")=4,COUNTIF(B9:B12,"&gt;0")&gt;2),CONCATENATE("Trying to hit ",B1," hours exactly? Estimate your final punch below"),""))</f>
        <v/>
      </c>
      <c r="B19" s="100"/>
      <c r="C19" s="100"/>
      <c r="D19" s="71"/>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01" t="str">
        <f>IF((A23=""),"",IF(AND((ISBLANK(D11)=FALSE),(ISBLANK(C11)=FALSE)),"You've already entered in lunch punches for today. I'll use those numbers.","&lt;--- Enter today's lunch time as a decimal (e.g. 45 minutes would be .75). Entering nothing will default to 1 hour. You can enter 0 for no lunch."))</f>
        <v/>
      </c>
      <c r="D23" s="102"/>
      <c r="E23" s="102"/>
      <c r="F23" s="102"/>
      <c r="G23" s="102"/>
      <c r="H23" s="102"/>
      <c r="I23" s="102"/>
      <c r="J23" s="72"/>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01" t="str">
        <f>IF((A24=""),"",IF((COUNTA(B11:D11)=2),"Looks like you've got only one lunch punch. Enter another to calculate",""))</f>
        <v/>
      </c>
      <c r="D24" s="102"/>
      <c r="E24" s="102"/>
      <c r="F24" s="102"/>
      <c r="K24" s="3"/>
      <c r="L24" s="4"/>
    </row>
    <row r="25" spans="1:12" ht="12.75" customHeight="1" x14ac:dyDescent="0.2">
      <c r="K25" s="3"/>
      <c r="L25" s="4"/>
    </row>
    <row r="26" spans="1:12" ht="12.75" customHeight="1" x14ac:dyDescent="0.2">
      <c r="K26" s="3"/>
      <c r="L26" s="4"/>
    </row>
    <row r="27" spans="1:12" ht="29.25" customHeight="1" x14ac:dyDescent="0.2">
      <c r="A27" s="10" t="s">
        <v>3</v>
      </c>
      <c r="B27" s="98" t="s">
        <v>5</v>
      </c>
      <c r="C27" s="98"/>
      <c r="D27" s="98"/>
      <c r="E27" s="98"/>
      <c r="F27" s="98"/>
      <c r="G27" s="103"/>
      <c r="H27" s="103"/>
      <c r="K27" s="3"/>
      <c r="L27" s="4"/>
    </row>
    <row r="28" spans="1:12" ht="28.5" customHeight="1" x14ac:dyDescent="0.2">
      <c r="B28" s="104" t="s">
        <v>17</v>
      </c>
      <c r="C28" s="104"/>
      <c r="D28" s="104"/>
      <c r="E28" s="104"/>
      <c r="F28" s="104"/>
      <c r="G28" s="104"/>
      <c r="H28" s="104"/>
      <c r="K28" s="3"/>
      <c r="L28" s="4"/>
    </row>
    <row r="29" spans="1:12" ht="41.25" customHeight="1" x14ac:dyDescent="0.2">
      <c r="B29" s="98" t="s">
        <v>71</v>
      </c>
      <c r="C29" s="98"/>
      <c r="D29" s="98"/>
      <c r="E29" s="98"/>
      <c r="F29" s="98"/>
      <c r="G29" s="98"/>
      <c r="H29" s="98"/>
      <c r="K29" s="3"/>
      <c r="L29" s="4"/>
    </row>
    <row r="30" spans="1:12" ht="29.25" customHeight="1" x14ac:dyDescent="0.2">
      <c r="B30" s="98" t="s">
        <v>15</v>
      </c>
      <c r="C30" s="98"/>
      <c r="D30" s="98"/>
      <c r="E30" s="98"/>
      <c r="F30" s="98"/>
      <c r="G30" s="98"/>
      <c r="H30" s="98"/>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18" priority="8" stopIfTrue="1" operator="notEqual">
      <formula>""</formula>
    </cfRule>
  </conditionalFormatting>
  <conditionalFormatting sqref="A24:B24">
    <cfRule type="cellIs" dxfId="17" priority="7" stopIfTrue="1" operator="notEqual">
      <formula>""</formula>
    </cfRule>
  </conditionalFormatting>
  <conditionalFormatting sqref="H3:I12">
    <cfRule type="containsBlanks" dxfId="16" priority="9" stopIfTrue="1">
      <formula>LEN(TRIM(H3))=0</formula>
    </cfRule>
  </conditionalFormatting>
  <conditionalFormatting sqref="B3:C3 E3:G3 B4:G12">
    <cfRule type="containsBlanks" dxfId="15" priority="6" stopIfTrue="1">
      <formula>LEN(TRIM(B3))=0</formula>
    </cfRule>
  </conditionalFormatting>
  <conditionalFormatting sqref="D3">
    <cfRule type="containsBlanks" dxfId="14" priority="5" stopIfTrue="1">
      <formula>LEN(TRIM(D3))=0</formula>
    </cfRule>
  </conditionalFormatting>
  <conditionalFormatting sqref="H14:I14">
    <cfRule type="containsBlanks" dxfId="13" priority="4" stopIfTrue="1">
      <formula>LEN(TRIM(H14))=0</formula>
    </cfRule>
  </conditionalFormatting>
  <conditionalFormatting sqref="B14:G14">
    <cfRule type="containsBlanks" dxfId="12" priority="3" stopIfTrue="1">
      <formula>LEN(TRIM(B14))=0</formula>
    </cfRule>
  </conditionalFormatting>
  <conditionalFormatting sqref="H13:I13">
    <cfRule type="containsBlanks" dxfId="11" priority="2" stopIfTrue="1">
      <formula>LEN(TRIM(H13))=0</formula>
    </cfRule>
  </conditionalFormatting>
  <conditionalFormatting sqref="B13:G13">
    <cfRule type="containsBlanks" dxfId="10" priority="1" stopIfTrue="1">
      <formula>LEN(TRIM(B13))=0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93985"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193986"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193987"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193988"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193989"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M200"/>
  <sheetViews>
    <sheetView zoomScale="115" zoomScaleNormal="115" workbookViewId="0">
      <selection activeCell="B7" sqref="B7"/>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82"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v>0.34583333333333333</v>
      </c>
      <c r="C3" s="21">
        <v>0.50555555555555554</v>
      </c>
      <c r="D3" s="21">
        <v>0.53472222222222221</v>
      </c>
      <c r="E3" s="21">
        <v>0.70347222222222228</v>
      </c>
      <c r="F3" s="21"/>
      <c r="G3" s="64"/>
      <c r="H3" s="22"/>
      <c r="I3" s="23"/>
      <c r="J3" s="24" t="str">
        <f>IF(OR(I3="comp",I3="cat",I3="pto",I3=""),"",I3)</f>
        <v/>
      </c>
      <c r="K3" s="77">
        <v>8.25</v>
      </c>
      <c r="L3" s="2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78"/>
      <c r="L4" s="34"/>
      <c r="M4" s="35"/>
    </row>
    <row r="5" spans="1:13" ht="12.75" customHeight="1" x14ac:dyDescent="0.2">
      <c r="A5" s="1" t="s">
        <v>10</v>
      </c>
      <c r="B5" s="36">
        <v>0.33833333333333332</v>
      </c>
      <c r="C5" s="37"/>
      <c r="D5" s="37"/>
      <c r="E5" s="37">
        <v>0.45416666666666666</v>
      </c>
      <c r="F5" s="66"/>
      <c r="G5" s="37"/>
      <c r="H5" s="30"/>
      <c r="I5" s="32"/>
      <c r="J5" s="38" t="str">
        <f t="shared" si="0"/>
        <v/>
      </c>
      <c r="K5" s="79">
        <v>3</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78"/>
      <c r="L6" s="34"/>
      <c r="M6" s="35"/>
    </row>
    <row r="7" spans="1:13" ht="12.75" customHeight="1" x14ac:dyDescent="0.2">
      <c r="A7" s="1" t="s">
        <v>12</v>
      </c>
      <c r="B7" s="36"/>
      <c r="C7" s="37"/>
      <c r="D7" s="37"/>
      <c r="E7" s="37"/>
      <c r="F7" s="37"/>
      <c r="G7" s="37"/>
      <c r="H7" s="30"/>
      <c r="I7" s="32"/>
      <c r="J7" s="38" t="str">
        <f t="shared" si="0"/>
        <v/>
      </c>
      <c r="K7" s="79"/>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78"/>
      <c r="L8" s="34"/>
      <c r="M8" s="35"/>
    </row>
    <row r="9" spans="1:13" ht="12.75" customHeight="1" x14ac:dyDescent="0.2">
      <c r="A9" s="1" t="s">
        <v>8</v>
      </c>
      <c r="B9" s="36"/>
      <c r="C9" s="37"/>
      <c r="D9" s="37"/>
      <c r="E9" s="37"/>
      <c r="F9" s="37"/>
      <c r="G9" s="37"/>
      <c r="H9" s="30"/>
      <c r="I9" s="32"/>
      <c r="J9" s="38" t="str">
        <f t="shared" si="0"/>
        <v/>
      </c>
      <c r="K9" s="79"/>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78"/>
      <c r="L10" s="34"/>
      <c r="M10" s="35"/>
    </row>
    <row r="11" spans="1:13" ht="12.75" customHeight="1" x14ac:dyDescent="0.2">
      <c r="A11" s="1" t="s">
        <v>14</v>
      </c>
      <c r="B11" s="36"/>
      <c r="C11" s="37"/>
      <c r="D11" s="37"/>
      <c r="E11" s="37"/>
      <c r="F11" s="37"/>
      <c r="G11" s="37"/>
      <c r="H11" s="56"/>
      <c r="I11" s="32"/>
      <c r="J11" s="38" t="str">
        <f t="shared" si="0"/>
        <v/>
      </c>
      <c r="K11" s="79"/>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78"/>
      <c r="L12" s="34"/>
      <c r="M12" s="35"/>
    </row>
    <row r="13" spans="1:13" ht="12.75" customHeight="1" x14ac:dyDescent="0.2">
      <c r="A13" s="7" t="s">
        <v>7</v>
      </c>
      <c r="B13" s="36"/>
      <c r="C13" s="37"/>
      <c r="D13" s="37"/>
      <c r="E13" s="37"/>
      <c r="F13" s="37"/>
      <c r="G13" s="37"/>
      <c r="H13" s="56"/>
      <c r="I13" s="32"/>
      <c r="J13" s="38" t="str">
        <f t="shared" si="0"/>
        <v/>
      </c>
      <c r="K13" s="79"/>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80"/>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11.25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You're short: need to use 28.75 hrs. of comp time or PTO</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xml:space="preserve">NOTE: Not all time entries have been filled for Monday through Friday. Check entries for errors.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On track for ~28.5 hrs. total</v>
      </c>
      <c r="L18" s="19"/>
    </row>
    <row r="19" spans="1:12" ht="12.75" customHeight="1" x14ac:dyDescent="0.2">
      <c r="A19" s="99" t="str">
        <f>IF(K15&gt;=B1,"",IF(AND(COUNTIF(K3:K11,"&gt;=4")=4,COUNTIF(B9:B12,"&gt;0")&gt;2),CONCATENATE("Trying to hit ",B1," hours exactly? Estimate your final punch below"),""))</f>
        <v/>
      </c>
      <c r="B19" s="100"/>
      <c r="C19" s="100"/>
      <c r="D19" s="83"/>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01" t="str">
        <f>IF((A23=""),"",IF(AND((ISBLANK(D11)=FALSE),(ISBLANK(C11)=FALSE)),"You've already entered in lunch punches for today. I'll use those numbers.","&lt;--- Enter today's lunch time as a decimal (e.g. 45 minutes would be .75). Entering nothing will default to 1 hour. You can enter 0 for no lunch."))</f>
        <v/>
      </c>
      <c r="D23" s="102"/>
      <c r="E23" s="102"/>
      <c r="F23" s="102"/>
      <c r="G23" s="102"/>
      <c r="H23" s="102"/>
      <c r="I23" s="102"/>
      <c r="J23" s="84"/>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01" t="str">
        <f>IF((A24=""),"",IF((COUNTA(B11:D11)=2),"Looks like you've got only one lunch punch. Enter another to calculate",""))</f>
        <v/>
      </c>
      <c r="D24" s="102"/>
      <c r="E24" s="102"/>
      <c r="F24" s="102"/>
      <c r="K24" s="3"/>
      <c r="L24" s="4"/>
    </row>
    <row r="25" spans="1:12" ht="12.75" customHeight="1" x14ac:dyDescent="0.2">
      <c r="K25" s="3"/>
      <c r="L25" s="4"/>
    </row>
    <row r="26" spans="1:12" ht="12.75" customHeight="1" x14ac:dyDescent="0.2">
      <c r="K26" s="3"/>
      <c r="L26" s="4"/>
    </row>
    <row r="27" spans="1:12" ht="29.25" customHeight="1" x14ac:dyDescent="0.2">
      <c r="A27" s="10" t="s">
        <v>3</v>
      </c>
      <c r="B27" s="98" t="s">
        <v>5</v>
      </c>
      <c r="C27" s="98"/>
      <c r="D27" s="98"/>
      <c r="E27" s="98"/>
      <c r="F27" s="98"/>
      <c r="G27" s="103"/>
      <c r="H27" s="103"/>
      <c r="K27" s="3"/>
      <c r="L27" s="4"/>
    </row>
    <row r="28" spans="1:12" ht="28.5" customHeight="1" x14ac:dyDescent="0.2">
      <c r="B28" s="104" t="s">
        <v>17</v>
      </c>
      <c r="C28" s="104"/>
      <c r="D28" s="104"/>
      <c r="E28" s="104"/>
      <c r="F28" s="104"/>
      <c r="G28" s="104"/>
      <c r="H28" s="104"/>
      <c r="K28" s="3"/>
      <c r="L28" s="4"/>
    </row>
    <row r="29" spans="1:12" ht="41.25" customHeight="1" x14ac:dyDescent="0.2">
      <c r="B29" s="98" t="s">
        <v>71</v>
      </c>
      <c r="C29" s="98"/>
      <c r="D29" s="98"/>
      <c r="E29" s="98"/>
      <c r="F29" s="98"/>
      <c r="G29" s="98"/>
      <c r="H29" s="98"/>
      <c r="K29" s="3"/>
      <c r="L29" s="4"/>
    </row>
    <row r="30" spans="1:12" ht="29.25" customHeight="1" x14ac:dyDescent="0.2">
      <c r="B30" s="98" t="s">
        <v>15</v>
      </c>
      <c r="C30" s="98"/>
      <c r="D30" s="98"/>
      <c r="E30" s="98"/>
      <c r="F30" s="98"/>
      <c r="G30" s="98"/>
      <c r="H30" s="98"/>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9" priority="9" stopIfTrue="1" operator="notEqual">
      <formula>""</formula>
    </cfRule>
  </conditionalFormatting>
  <conditionalFormatting sqref="A24:B24">
    <cfRule type="cellIs" dxfId="8" priority="8" stopIfTrue="1" operator="notEqual">
      <formula>""</formula>
    </cfRule>
  </conditionalFormatting>
  <conditionalFormatting sqref="H3:I12">
    <cfRule type="containsBlanks" dxfId="7" priority="10" stopIfTrue="1">
      <formula>LEN(TRIM(H3))=0</formula>
    </cfRule>
  </conditionalFormatting>
  <conditionalFormatting sqref="B3:C3 E3:G3 B4:G4 B6:G12 B5 D5:G5">
    <cfRule type="containsBlanks" dxfId="6" priority="7" stopIfTrue="1">
      <formula>LEN(TRIM(B3))=0</formula>
    </cfRule>
  </conditionalFormatting>
  <conditionalFormatting sqref="D3">
    <cfRule type="containsBlanks" dxfId="5" priority="6" stopIfTrue="1">
      <formula>LEN(TRIM(D3))=0</formula>
    </cfRule>
  </conditionalFormatting>
  <conditionalFormatting sqref="H14:I14">
    <cfRule type="containsBlanks" dxfId="4" priority="5" stopIfTrue="1">
      <formula>LEN(TRIM(H14))=0</formula>
    </cfRule>
  </conditionalFormatting>
  <conditionalFormatting sqref="B14:G14">
    <cfRule type="containsBlanks" dxfId="3" priority="4" stopIfTrue="1">
      <formula>LEN(TRIM(B14))=0</formula>
    </cfRule>
  </conditionalFormatting>
  <conditionalFormatting sqref="H13:I13">
    <cfRule type="containsBlanks" dxfId="2" priority="3" stopIfTrue="1">
      <formula>LEN(TRIM(H13))=0</formula>
    </cfRule>
  </conditionalFormatting>
  <conditionalFormatting sqref="B13:G13">
    <cfRule type="containsBlanks" dxfId="1" priority="2" stopIfTrue="1">
      <formula>LEN(TRIM(B13))=0</formula>
    </cfRule>
  </conditionalFormatting>
  <conditionalFormatting sqref="C5">
    <cfRule type="containsBlanks" dxfId="0" priority="1" stopIfTrue="1">
      <formula>LEN(TRIM(C5))=0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96737"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396738"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396739"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396740"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396741"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4"/>
  <sheetViews>
    <sheetView workbookViewId="0">
      <selection activeCell="C9" sqref="C9"/>
    </sheetView>
  </sheetViews>
  <sheetFormatPr defaultRowHeight="12.75" x14ac:dyDescent="0.2"/>
  <cols>
    <col min="1" max="1" width="13.140625" style="49" customWidth="1"/>
    <col min="2" max="2" width="11.28515625" style="49" bestFit="1" customWidth="1"/>
    <col min="3" max="3" width="6.42578125" style="49" customWidth="1"/>
    <col min="4" max="16384" width="9.140625" style="49"/>
  </cols>
  <sheetData>
    <row r="1" spans="1:4" x14ac:dyDescent="0.2">
      <c r="A1" s="49" t="s">
        <v>19</v>
      </c>
    </row>
    <row r="3" spans="1:4" x14ac:dyDescent="0.2">
      <c r="A3" s="50" t="s">
        <v>20</v>
      </c>
      <c r="B3" s="51" t="s">
        <v>22</v>
      </c>
      <c r="C3" s="55" t="s">
        <v>48</v>
      </c>
      <c r="D3" s="49" t="str">
        <f>IF(AND(C3="",C4=""),"Please pick one option by marking an 'x' next to it.",IF(COUNTA(C3:C4)=2,"You've choosen too many options. Please pick only one by marking an 'x' next to it.",IF(C3="x","This means you badge in/out every day. Is this correct?",IF(C4="x","This means you do NOT badge in/out every day.",""))))</f>
        <v>This means you badge in/out every day. Is this correct?</v>
      </c>
    </row>
    <row r="4" spans="1:4" x14ac:dyDescent="0.2">
      <c r="B4" s="51" t="s">
        <v>21</v>
      </c>
      <c r="C4" s="55"/>
    </row>
    <row r="5" spans="1:4" x14ac:dyDescent="0.2">
      <c r="B5" s="51" t="s">
        <v>47</v>
      </c>
      <c r="C5" s="55"/>
    </row>
    <row r="6" spans="1:4" x14ac:dyDescent="0.2">
      <c r="B6" s="51"/>
      <c r="C6" s="52"/>
    </row>
    <row r="7" spans="1:4" x14ac:dyDescent="0.2">
      <c r="A7" s="50" t="s">
        <v>23</v>
      </c>
      <c r="B7" s="53">
        <f>IF(C4="x",1,IF(C5="x",0,1.5))</f>
        <v>1.5</v>
      </c>
      <c r="C7" s="54" t="s">
        <v>24</v>
      </c>
    </row>
    <row r="9" spans="1:4" x14ac:dyDescent="0.2">
      <c r="A9" s="50" t="s">
        <v>106</v>
      </c>
      <c r="B9" s="107" t="s">
        <v>107</v>
      </c>
      <c r="C9" s="52" t="s">
        <v>48</v>
      </c>
      <c r="D9" s="49" t="str">
        <f>IF(AND(C9="",C10=""),"Please pick one option by marking an 'x' next to it.",IF(COUNTA(C9:C10)=2,"You've choosen too many options. Please pick only one by marking an 'x' next to it.",IF(C9="x","Okay, I'll bother you less!",IF(C10="x","Sounds good, you'll be prompted to confirm actions more often.",""))))</f>
        <v>Okay, I'll bother you less!</v>
      </c>
    </row>
    <row r="10" spans="1:4" x14ac:dyDescent="0.2">
      <c r="B10" s="108" t="s">
        <v>108</v>
      </c>
      <c r="C10" s="52"/>
    </row>
    <row r="11" spans="1:4" x14ac:dyDescent="0.2">
      <c r="A11" s="54" t="s">
        <v>55</v>
      </c>
    </row>
    <row r="12" spans="1:4" x14ac:dyDescent="0.2">
      <c r="A12" s="62" t="s">
        <v>54</v>
      </c>
    </row>
    <row r="13" spans="1:4" x14ac:dyDescent="0.2">
      <c r="B13" s="65"/>
      <c r="C13" s="65"/>
    </row>
    <row r="14" spans="1:4" x14ac:dyDescent="0.2">
      <c r="B14" s="65"/>
      <c r="C14" s="65"/>
    </row>
  </sheetData>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69"/>
  <sheetViews>
    <sheetView topLeftCell="A37" workbookViewId="0">
      <selection activeCell="B70" sqref="B70"/>
    </sheetView>
  </sheetViews>
  <sheetFormatPr defaultRowHeight="12.75" x14ac:dyDescent="0.2"/>
  <cols>
    <col min="1" max="1" width="5.7109375" customWidth="1"/>
  </cols>
  <sheetData>
    <row r="1" spans="1:18" x14ac:dyDescent="0.2">
      <c r="A1" s="105" t="s">
        <v>26</v>
      </c>
      <c r="B1" s="105"/>
      <c r="C1" s="105"/>
      <c r="D1" s="105"/>
      <c r="E1" s="105"/>
      <c r="N1" s="106" t="s">
        <v>39</v>
      </c>
      <c r="O1" s="106"/>
      <c r="P1" s="106"/>
      <c r="Q1" s="106"/>
      <c r="R1" s="106"/>
    </row>
    <row r="3" spans="1:18" x14ac:dyDescent="0.2">
      <c r="A3" s="59" t="s">
        <v>32</v>
      </c>
      <c r="N3" t="s">
        <v>40</v>
      </c>
    </row>
    <row r="4" spans="1:18" x14ac:dyDescent="0.2">
      <c r="B4" t="s">
        <v>27</v>
      </c>
      <c r="N4" t="s">
        <v>41</v>
      </c>
    </row>
    <row r="5" spans="1:18" x14ac:dyDescent="0.2">
      <c r="B5" t="s">
        <v>28</v>
      </c>
      <c r="N5" t="s">
        <v>42</v>
      </c>
    </row>
    <row r="6" spans="1:18" x14ac:dyDescent="0.2">
      <c r="B6" t="s">
        <v>29</v>
      </c>
      <c r="N6" t="s">
        <v>43</v>
      </c>
    </row>
    <row r="7" spans="1:18" x14ac:dyDescent="0.2">
      <c r="B7" t="s">
        <v>30</v>
      </c>
      <c r="N7" t="s">
        <v>44</v>
      </c>
    </row>
    <row r="8" spans="1:18" x14ac:dyDescent="0.2">
      <c r="B8" t="s">
        <v>31</v>
      </c>
      <c r="N8" t="s">
        <v>45</v>
      </c>
    </row>
    <row r="9" spans="1:18" x14ac:dyDescent="0.2">
      <c r="N9" t="s">
        <v>46</v>
      </c>
    </row>
    <row r="10" spans="1:18" x14ac:dyDescent="0.2">
      <c r="A10" s="59" t="s">
        <v>33</v>
      </c>
      <c r="N10" t="s">
        <v>79</v>
      </c>
    </row>
    <row r="11" spans="1:18" x14ac:dyDescent="0.2">
      <c r="B11" t="s">
        <v>34</v>
      </c>
    </row>
    <row r="12" spans="1:18" x14ac:dyDescent="0.2">
      <c r="B12" t="s">
        <v>35</v>
      </c>
    </row>
    <row r="14" spans="1:18" x14ac:dyDescent="0.2">
      <c r="A14" s="59" t="s">
        <v>53</v>
      </c>
    </row>
    <row r="15" spans="1:18" x14ac:dyDescent="0.2">
      <c r="B15" t="s">
        <v>36</v>
      </c>
    </row>
    <row r="16" spans="1:18" x14ac:dyDescent="0.2">
      <c r="B16" t="s">
        <v>37</v>
      </c>
    </row>
    <row r="17" spans="1:2" x14ac:dyDescent="0.2">
      <c r="B17" t="s">
        <v>38</v>
      </c>
    </row>
    <row r="18" spans="1:2" x14ac:dyDescent="0.2">
      <c r="B18" t="s">
        <v>51</v>
      </c>
    </row>
    <row r="19" spans="1:2" x14ac:dyDescent="0.2">
      <c r="B19" t="s">
        <v>50</v>
      </c>
    </row>
    <row r="20" spans="1:2" x14ac:dyDescent="0.2">
      <c r="B20" t="s">
        <v>49</v>
      </c>
    </row>
    <row r="21" spans="1:2" x14ac:dyDescent="0.2">
      <c r="B21" t="s">
        <v>52</v>
      </c>
    </row>
    <row r="23" spans="1:2" x14ac:dyDescent="0.2">
      <c r="A23" s="59" t="s">
        <v>66</v>
      </c>
    </row>
    <row r="24" spans="1:2" x14ac:dyDescent="0.2">
      <c r="B24" t="s">
        <v>57</v>
      </c>
    </row>
    <row r="25" spans="1:2" x14ac:dyDescent="0.2">
      <c r="B25" t="s">
        <v>58</v>
      </c>
    </row>
    <row r="26" spans="1:2" x14ac:dyDescent="0.2">
      <c r="B26" t="s">
        <v>59</v>
      </c>
    </row>
    <row r="27" spans="1:2" x14ac:dyDescent="0.2">
      <c r="B27" t="s">
        <v>60</v>
      </c>
    </row>
    <row r="28" spans="1:2" x14ac:dyDescent="0.2">
      <c r="B28" t="s">
        <v>62</v>
      </c>
    </row>
    <row r="29" spans="1:2" x14ac:dyDescent="0.2">
      <c r="B29" t="s">
        <v>61</v>
      </c>
    </row>
    <row r="30" spans="1:2" x14ac:dyDescent="0.2">
      <c r="B30" t="s">
        <v>63</v>
      </c>
    </row>
    <row r="31" spans="1:2" x14ac:dyDescent="0.2">
      <c r="B31" t="s">
        <v>64</v>
      </c>
    </row>
    <row r="32" spans="1:2" x14ac:dyDescent="0.2">
      <c r="B32" t="s">
        <v>65</v>
      </c>
    </row>
    <row r="34" spans="1:2" x14ac:dyDescent="0.2">
      <c r="A34" s="59" t="s">
        <v>68</v>
      </c>
    </row>
    <row r="35" spans="1:2" x14ac:dyDescent="0.2">
      <c r="B35" t="s">
        <v>67</v>
      </c>
    </row>
    <row r="36" spans="1:2" x14ac:dyDescent="0.2">
      <c r="B36" t="s">
        <v>69</v>
      </c>
    </row>
    <row r="37" spans="1:2" x14ac:dyDescent="0.2">
      <c r="B37" t="s">
        <v>70</v>
      </c>
    </row>
    <row r="38" spans="1:2" x14ac:dyDescent="0.2">
      <c r="B38" t="s">
        <v>73</v>
      </c>
    </row>
    <row r="40" spans="1:2" x14ac:dyDescent="0.2">
      <c r="A40" s="59" t="s">
        <v>74</v>
      </c>
    </row>
    <row r="41" spans="1:2" x14ac:dyDescent="0.2">
      <c r="B41" t="s">
        <v>75</v>
      </c>
    </row>
    <row r="42" spans="1:2" x14ac:dyDescent="0.2">
      <c r="B42" t="s">
        <v>76</v>
      </c>
    </row>
    <row r="43" spans="1:2" x14ac:dyDescent="0.2">
      <c r="B43" t="s">
        <v>77</v>
      </c>
    </row>
    <row r="44" spans="1:2" x14ac:dyDescent="0.2">
      <c r="B44" t="s">
        <v>78</v>
      </c>
    </row>
    <row r="46" spans="1:2" x14ac:dyDescent="0.2">
      <c r="A46" s="59" t="s">
        <v>83</v>
      </c>
    </row>
    <row r="47" spans="1:2" x14ac:dyDescent="0.2">
      <c r="B47" t="s">
        <v>80</v>
      </c>
    </row>
    <row r="48" spans="1:2" x14ac:dyDescent="0.2">
      <c r="B48" t="s">
        <v>81</v>
      </c>
    </row>
    <row r="49" spans="1:2" x14ac:dyDescent="0.2">
      <c r="B49" t="s">
        <v>82</v>
      </c>
    </row>
    <row r="51" spans="1:2" x14ac:dyDescent="0.2">
      <c r="A51" s="59" t="s">
        <v>90</v>
      </c>
    </row>
    <row r="52" spans="1:2" x14ac:dyDescent="0.2">
      <c r="B52" t="s">
        <v>88</v>
      </c>
    </row>
    <row r="54" spans="1:2" x14ac:dyDescent="0.2">
      <c r="A54" s="59" t="s">
        <v>89</v>
      </c>
    </row>
    <row r="55" spans="1:2" x14ac:dyDescent="0.2">
      <c r="A55" t="s">
        <v>84</v>
      </c>
      <c r="B55" t="s">
        <v>85</v>
      </c>
    </row>
    <row r="56" spans="1:2" x14ac:dyDescent="0.2">
      <c r="A56" t="s">
        <v>84</v>
      </c>
      <c r="B56" t="s">
        <v>86</v>
      </c>
    </row>
    <row r="57" spans="1:2" x14ac:dyDescent="0.2">
      <c r="A57" t="s">
        <v>84</v>
      </c>
      <c r="B57" t="s">
        <v>87</v>
      </c>
    </row>
    <row r="58" spans="1:2" x14ac:dyDescent="0.2">
      <c r="B58" t="s">
        <v>91</v>
      </c>
    </row>
    <row r="59" spans="1:2" x14ac:dyDescent="0.2">
      <c r="B59" t="s">
        <v>92</v>
      </c>
    </row>
    <row r="60" spans="1:2" x14ac:dyDescent="0.2">
      <c r="B60" t="s">
        <v>94</v>
      </c>
    </row>
    <row r="61" spans="1:2" x14ac:dyDescent="0.2">
      <c r="A61" t="s">
        <v>84</v>
      </c>
      <c r="B61" t="s">
        <v>95</v>
      </c>
    </row>
    <row r="62" spans="1:2" x14ac:dyDescent="0.2">
      <c r="A62" t="s">
        <v>84</v>
      </c>
      <c r="B62" t="s">
        <v>96</v>
      </c>
    </row>
    <row r="63" spans="1:2" x14ac:dyDescent="0.2">
      <c r="B63" t="s">
        <v>97</v>
      </c>
    </row>
    <row r="64" spans="1:2" x14ac:dyDescent="0.2">
      <c r="B64" t="s">
        <v>98</v>
      </c>
    </row>
    <row r="66" spans="1:2" x14ac:dyDescent="0.2">
      <c r="A66" s="59" t="s">
        <v>100</v>
      </c>
    </row>
    <row r="67" spans="1:2" x14ac:dyDescent="0.2">
      <c r="A67" s="59"/>
      <c r="B67" t="s">
        <v>99</v>
      </c>
    </row>
    <row r="68" spans="1:2" x14ac:dyDescent="0.2">
      <c r="B68" t="s">
        <v>101</v>
      </c>
    </row>
    <row r="69" spans="1:2" x14ac:dyDescent="0.2">
      <c r="B69" s="81" t="s">
        <v>102</v>
      </c>
    </row>
  </sheetData>
  <mergeCells count="2">
    <mergeCell ref="A1:E1"/>
    <mergeCell ref="N1:R1"/>
  </mergeCells>
  <hyperlinks>
    <hyperlink ref="B69" r:id="rId1"/>
  </hyperlinks>
  <pageMargins left="0.7" right="0.7" top="0.75" bottom="0.75" header="0.3" footer="0.3"/>
  <pageSetup orientation="portrait" horizontalDpi="300" verticalDpi="300"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2.75"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Time Sheet Planner</vt:lpstr>
      <vt:lpstr>User Preferences</vt:lpstr>
      <vt:lpstr>Changelog</vt:lpstr>
      <vt:lpstr>PeopleSoft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 Bathman</dc:creator>
  <cp:lastModifiedBy>Jake Bathman</cp:lastModifiedBy>
  <dcterms:created xsi:type="dcterms:W3CDTF">2011-08-11T20:04:03Z</dcterms:created>
  <dcterms:modified xsi:type="dcterms:W3CDTF">2013-08-12T15:50:58Z</dcterms:modified>
</cp:coreProperties>
</file>