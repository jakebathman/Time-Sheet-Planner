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I14" i="1832" l="1"/>
  <c r="H14" i="1832" s="1"/>
  <c r="H13" i="1832"/>
  <c r="H12" i="1832"/>
  <c r="M4" i="1832"/>
  <c r="L10" i="1832"/>
  <c r="I12" i="1832" l="1"/>
  <c r="I13" i="1832"/>
  <c r="H11" i="1832"/>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<sst xmlns="http://schemas.openxmlformats.org/spreadsheetml/2006/main" count="201" uniqueCount="143">
  <si>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</si>
  <si>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</si>
  <si>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</si>
  <si>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</si>
  <si>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</si>
  <si>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</si>
  <si>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</si>
  <si>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</si>
  <si>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</si>
  <si>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</si>
  <si>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</si>
  <si>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</si>
  <si>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</si>
  <si>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</si>
  <si>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</si>
  <si>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</si>
  <si>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</si>
  <si>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</si>
  <si>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</si>
  <si>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</si>
  <si>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</si>
  <si>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</si>
  <si>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</si>
  <si>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</si>
  <si>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</si>
  <si>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</si>
  <si>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</si>
  <si>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</si>
  <si>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</si>
  <si>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</si>
  <si>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</si>
  <si>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</si>
  <si>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</si>
  <si>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</si>
  <si>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</si>
  <si>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</si>
  <si>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</si>
  <si>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</si>
  <si>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</si>
  <si>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</si>
  <si>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</si>
  <si>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</si>
  <si>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</si>
  <si>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</si>
  <si>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</si>
  <si>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</si>
  <si>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</si>
  <si>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</si>
  <si>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</si>
  <si>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</si>
  <si>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</si>
  <si>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</si>
  <si>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</si>
  <si>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</si>
  <si>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</si>
  <si>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</si>
  <si>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</si>
  <si>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</si>
  <si>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</si>
  <si>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</si>
  <si>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</si>
  <si>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</si>
  <si>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</si>
  <si>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</si>
  <si>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</si>
  <si>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</si>
  <si>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</si>
  <si>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</si>
  <si>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</si>
  <si>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</si>
  <si>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</si>
  <si>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</si>
  <si>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</si>
  <si>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</si>
  <si>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</si>
  <si>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</si>
  <si>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</si>
  <si>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</si>
  <si>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</si>
  <si>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</si>
  <si>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</si>
  <si>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</si>
  <si>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</si>
  <si>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</si>
  <si>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</si>
  <si>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</si>
  <si>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</si>
  <si>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</si>
  <si>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</si>
  <si>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</si>
  <si>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</si>
  <si>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</si>
  <si>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</si>
  <si>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</si>
  <si>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</si>
  <si>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</si>
  <si>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</si>
  <si>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</si>
  <si>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</si>
  <si>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</si>
  <si>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</si>
  <si>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</si>
  <si>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</si>
  <si>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</si>
  <si>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</si>
  <si>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</si>
  <si>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</si>
  <si>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</si>
  <si>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</si>
  <si>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</si>
  <si>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</si>
  <si>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</si>
  <si>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</si>
  <si>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</si>
  <si>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</si>
  <si>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</si>
  <si>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</si>
  <si>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</si>
  <si>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</si>
  <si>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</si>
  <si>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</si>
  <si>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</si>
  <si>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</si>
  <si>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</si>
  <si>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</si>
  <si>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</si>
  <si>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</si>
  <si>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</si>
  <si>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</si>
  <si>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</si>
  <si>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</si>
  <si>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</si>
  <si>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</si>
  <si>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</si>
  <si>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</si>
  <si>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</si>
  <si>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</si>
  <si>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</si>
  <si>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</si>
  <si>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</si>
  <si>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</si>
  <si>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Choose name…</t>
  </si>
  <si>
    <t>Time Off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</si>
</sst>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7">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0" fontId="13" fillId="0" borderId="9" xfId="0" applyFont="1" applyBorder="1" applyAlignment="1"/>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cellXfs>
  <cellStyles count="3">
    <cellStyle name="Comma" xfId="1" builtinId="3"/>
    <cellStyle name="Hyperlink" xfId="2" builtinId="8"/>
    <cellStyle name="Normal" xfId="0" builtinId="0"/>
  </cellStyles>
  <dxfs count="33">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8</xdr:row>
          <xdr:rowOff>190500</xdr:rowOff>
        </xdr:from>
        <xdr:to>
          <xdr:col>2</xdr:col>
          <xdr:colOff>0</xdr:colOff>
          <xdr:row>10</xdr:row>
          <xdr:rowOff>57150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10</xdr:row>
          <xdr:rowOff>190500</xdr:rowOff>
        </xdr:from>
        <xdr:to>
          <xdr:col>2</xdr:col>
          <xdr:colOff>0</xdr:colOff>
          <xdr:row>12</xdr:row>
          <xdr:rowOff>57150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17</xdr:row>
          <xdr:rowOff>171450</xdr:rowOff>
        </xdr:from>
        <xdr:to>
          <xdr:col>2</xdr:col>
          <xdr:colOff>0</xdr:colOff>
          <xdr:row>19</xdr:row>
          <xdr:rowOff>38100</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19</xdr:row>
          <xdr:rowOff>180975</xdr:rowOff>
        </xdr:from>
        <xdr:to>
          <xdr:col>2</xdr:col>
          <xdr:colOff>0</xdr:colOff>
          <xdr:row>21</xdr:row>
          <xdr:rowOff>47625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30</xdr:row>
          <xdr:rowOff>180975</xdr:rowOff>
        </xdr:from>
        <xdr:to>
          <xdr:col>1</xdr:col>
          <xdr:colOff>0</xdr:colOff>
          <xdr:row>32</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33</xdr:row>
          <xdr:rowOff>180975</xdr:rowOff>
        </xdr:from>
        <xdr:to>
          <xdr:col>1</xdr:col>
          <xdr:colOff>0</xdr:colOff>
          <xdr:row>35</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0</xdr:colOff>
          <xdr:row>1</xdr:row>
          <xdr:rowOff>190500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85725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190500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8.xml"/><Relationship Id="rId2" Type="http://schemas.openxmlformats.org/officeDocument/2006/relationships/drawing" Target="../drawings/drawing4.xml"/><Relationship Id="rId16" Type="http://schemas.openxmlformats.org/officeDocument/2006/relationships/image" Target="../media/image5.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image" Target="../media/image2.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2.xml"/><Relationship Id="rId9" Type="http://schemas.openxmlformats.org/officeDocument/2006/relationships/control" Target="../activeX/activeX5.xml"/><Relationship Id="rId14" Type="http://schemas.openxmlformats.org/officeDocument/2006/relationships/image" Target="../media/image4.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9.140625" customWidth="1"/>
    <col min="9" max="9" width="7.710937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142</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24" t="str">
        <f>IF(SUM(I3:I9)&gt;0,"PTO:","")</f>
        <v/>
      </c>
      <c r="I12" s="125" t="str">
        <f>IF(SUMIF(H3:H9,"=PTO",I3:I9)&gt;0,SUMIF(H3:H9,"=PTO",I3:I9),IF(AND(SUM(I3:I9)&gt;0,I14&gt;0),"?",""))</f>
        <v/>
      </c>
      <c r="J12" s="5"/>
      <c r="K12" s="5"/>
      <c r="L12" s="3" t="str">
        <f>IF(SUM(I3:I9)&gt;=(B1*0.8),"Vacation week, huh?","")</f>
        <v/>
      </c>
      <c r="M12" s="4"/>
    </row>
    <row r="13" spans="1:14" x14ac:dyDescent="0.2">
      <c r="B13" s="89"/>
      <c r="C13" s="6"/>
      <c r="D13" s="6"/>
      <c r="E13" s="6"/>
      <c r="F13" s="67"/>
      <c r="G13" s="90"/>
      <c r="H13" s="124" t="str">
        <f>IF(SUM(I3:I9)&gt;0,"Comp:","")</f>
        <v/>
      </c>
      <c r="I13" s="126" t="str">
        <f>IF(SUMIF(H3:H9,"=Comp",I3:I9)&gt;0,SUMIF(H3:H9,"=Comp",I3:I9),IF(AND(SUM(I3:I9)&gt;0,I14&gt;0),"?",""))</f>
        <v/>
      </c>
      <c r="L13" s="13" t="str">
        <f>IF(OR(L10=0,L10&gt;=B1),"",IF(ISBLANK(B7)=FALSE,"",CONCATENATE("On track for ~", ((COUNTBLANK(L3:L7)-4)*MROUND(AVERAGE(L3:L7),0.25))+L10," hrs. total")))</f>
        <v/>
      </c>
      <c r="M13" s="19"/>
    </row>
    <row r="14" spans="1:14" x14ac:dyDescent="0.2">
      <c r="A14" s="91"/>
      <c r="B14" s="92"/>
      <c r="C14" s="92"/>
      <c r="D14" s="71"/>
      <c r="G14" s="14"/>
      <c r="H14" s="124" t="str">
        <f>IF(AND(SUM(I3:I9)&gt;0,I14&gt;0,I14&lt;&gt;""),"Other:","")</f>
        <v/>
      </c>
      <c r="I14" s="125" t="str">
        <f>IF(SUM(I3:I9)-SUMIF(H3:H9,"=PTO",I3:I9)-SUMIF(H3:H9,"=Comp",I3:I9)&gt;0,SUM(I3:I9)-SUMIF(H3:H9,"=PTO",I3:I9)-SUMIF(H3:H9,"=Comp",I3:I9),"")</f>
        <v/>
      </c>
      <c r="L14" s="3"/>
      <c r="M14" s="4"/>
    </row>
    <row r="15" spans="1:14" x14ac:dyDescent="0.2">
      <c r="B15" s="67"/>
      <c r="G15" s="14"/>
      <c r="H15" s="14"/>
      <c r="I15" s="15"/>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2" priority="13" stopIfTrue="1" operator="notEqual">
      <formula>""</formula>
    </cfRule>
  </conditionalFormatting>
  <conditionalFormatting sqref="A19:B19">
    <cfRule type="cellIs" dxfId="31" priority="12" stopIfTrue="1" operator="notEqual">
      <formula>""</formula>
    </cfRule>
  </conditionalFormatting>
  <conditionalFormatting sqref="I3:J7">
    <cfRule type="containsBlanks" dxfId="30" priority="14" stopIfTrue="1">
      <formula>LEN(TRIM(I3))=0</formula>
    </cfRule>
  </conditionalFormatting>
  <conditionalFormatting sqref="B3:C3 E3:G3 B4 D4:G4 B5:G7">
    <cfRule type="containsBlanks" dxfId="29" priority="11" stopIfTrue="1">
      <formula>LEN(TRIM(B3))=0</formula>
    </cfRule>
  </conditionalFormatting>
  <conditionalFormatting sqref="D3">
    <cfRule type="containsBlanks" dxfId="28" priority="10" stopIfTrue="1">
      <formula>LEN(TRIM(D3))=0</formula>
    </cfRule>
  </conditionalFormatting>
  <conditionalFormatting sqref="I9:J9">
    <cfRule type="containsBlanks" dxfId="27" priority="9" stopIfTrue="1">
      <formula>LEN(TRIM(I9))=0</formula>
    </cfRule>
  </conditionalFormatting>
  <conditionalFormatting sqref="B9:G9">
    <cfRule type="containsBlanks" dxfId="26" priority="8" stopIfTrue="1">
      <formula>LEN(TRIM(B9))=0</formula>
    </cfRule>
  </conditionalFormatting>
  <conditionalFormatting sqref="I8:J8">
    <cfRule type="containsBlanks" dxfId="25" priority="7" stopIfTrue="1">
      <formula>LEN(TRIM(I8))=0</formula>
    </cfRule>
  </conditionalFormatting>
  <conditionalFormatting sqref="B8:G8">
    <cfRule type="containsBlanks" dxfId="24" priority="6" stopIfTrue="1">
      <formula>LEN(TRIM(B8))=0</formula>
    </cfRule>
  </conditionalFormatting>
  <conditionalFormatting sqref="C4">
    <cfRule type="containsBlanks" dxfId="23" priority="5" stopIfTrue="1">
      <formula>LEN(TRIM(C4))=0</formula>
    </cfRule>
  </conditionalFormatting>
  <conditionalFormatting sqref="H3">
    <cfRule type="containsBlanks" dxfId="22" priority="4" stopIfTrue="1">
      <formula>LEN(TRIM(H3))=0</formula>
    </cfRule>
  </conditionalFormatting>
  <conditionalFormatting sqref="H4:H7">
    <cfRule type="containsBlanks" dxfId="21" priority="3" stopIfTrue="1">
      <formula>LEN(TRIM(H4))=0</formula>
    </cfRule>
  </conditionalFormatting>
  <conditionalFormatting sqref="H8">
    <cfRule type="containsBlanks" dxfId="20" priority="2" stopIfTrue="1">
      <formula>LEN(TRIM(H8))=0</formula>
    </cfRule>
  </conditionalFormatting>
  <conditionalFormatting sqref="H9">
    <cfRule type="containsBlanks" dxfId="19"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6" t="str">
        <f>IF(K15&gt;=B1,"",IF(AND(COUNTIF(K3:K11,"&gt;=4")=4,COUNTIF(B9:B12,"&gt;0")&gt;2),CONCATENATE("Trying to hit ",B1," hours exactly? Estimate your final punch below"),""))</f>
        <v/>
      </c>
      <c r="B19" s="117"/>
      <c r="C19" s="117"/>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8" t="str">
        <f>IF((A23=""),"",IF(AND((ISBLANK(D11)=FALSE),(ISBLANK(C11)=FALSE)),"You've already entered in lunch punches for today. I'll use those numbers.","&lt;--- Enter today's lunch time as a decimal (e.g. 45 minutes would be .75). Entering nothing will default to 1 hour. You can enter 0 for no lunch."))</f>
        <v/>
      </c>
      <c r="D23" s="119"/>
      <c r="E23" s="119"/>
      <c r="F23" s="119"/>
      <c r="G23" s="119"/>
      <c r="H23" s="119"/>
      <c r="I23" s="119"/>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8" t="str">
        <f>IF((A24=""),"",IF((COUNTA(B11:D11)=2),"Looks like you've got only one lunch punch. Enter another to calculate",""))</f>
        <v/>
      </c>
      <c r="D24" s="119"/>
      <c r="E24" s="119"/>
      <c r="F24" s="119"/>
      <c r="K24" s="3"/>
      <c r="L24" s="4"/>
    </row>
    <row r="25" spans="1:12" ht="12.75" customHeight="1" x14ac:dyDescent="0.2">
      <c r="K25" s="3"/>
      <c r="L25" s="4"/>
    </row>
    <row r="26" spans="1:12" ht="12.75" customHeight="1" x14ac:dyDescent="0.2">
      <c r="K26" s="3"/>
      <c r="L26" s="4"/>
    </row>
    <row r="27" spans="1:12" ht="29.25" customHeight="1" x14ac:dyDescent="0.2">
      <c r="A27" s="10" t="s">
        <v>3</v>
      </c>
      <c r="B27" s="115" t="s">
        <v>5</v>
      </c>
      <c r="C27" s="115"/>
      <c r="D27" s="115"/>
      <c r="E27" s="115"/>
      <c r="F27" s="115"/>
      <c r="G27" s="120"/>
      <c r="H27" s="120"/>
      <c r="K27" s="3"/>
      <c r="L27" s="4"/>
    </row>
    <row r="28" spans="1:12" ht="28.5" customHeight="1" x14ac:dyDescent="0.2">
      <c r="B28" s="121" t="s">
        <v>17</v>
      </c>
      <c r="C28" s="121"/>
      <c r="D28" s="121"/>
      <c r="E28" s="121"/>
      <c r="F28" s="121"/>
      <c r="G28" s="121"/>
      <c r="H28" s="121"/>
      <c r="K28" s="3"/>
      <c r="L28" s="4"/>
    </row>
    <row r="29" spans="1:12" ht="41.25" customHeight="1" x14ac:dyDescent="0.2">
      <c r="B29" s="115" t="s">
        <v>71</v>
      </c>
      <c r="C29" s="115"/>
      <c r="D29" s="115"/>
      <c r="E29" s="115"/>
      <c r="F29" s="115"/>
      <c r="G29" s="115"/>
      <c r="H29" s="115"/>
      <c r="K29" s="3"/>
      <c r="L29" s="4"/>
    </row>
    <row r="30" spans="1:12" ht="29.25" customHeight="1" x14ac:dyDescent="0.2">
      <c r="B30" s="115" t="s">
        <v>15</v>
      </c>
      <c r="C30" s="115"/>
      <c r="D30" s="115"/>
      <c r="E30" s="115"/>
      <c r="F30" s="115"/>
      <c r="G30" s="115"/>
      <c r="H30" s="115"/>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6" t="str">
        <f>IF(K15&gt;=B1,"",IF(AND(COUNTIF(K3:K11,"&gt;=4")=4,COUNTIF(B9:B12,"&gt;0")&gt;2),CONCATENATE("Trying to hit ",B1," hours exactly? Estimate your final punch below"),""))</f>
        <v/>
      </c>
      <c r="B19" s="117"/>
      <c r="C19" s="117"/>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8" t="str">
        <f>IF((A23=""),"",IF(AND((ISBLANK(D11)=FALSE),(ISBLANK(C11)=FALSE)),"You've already entered in lunch punches for today. I'll use those numbers.","&lt;--- Enter today's lunch time as a decimal (e.g. 45 minutes would be .75). Entering nothing will default to 1 hour. You can enter 0 for no lunch."))</f>
        <v/>
      </c>
      <c r="D23" s="119"/>
      <c r="E23" s="119"/>
      <c r="F23" s="119"/>
      <c r="G23" s="119"/>
      <c r="H23" s="119"/>
      <c r="I23" s="119"/>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8" t="str">
        <f>IF((A24=""),"",IF((COUNTA(B11:D11)=2),"Looks like you've got only one lunch punch. Enter another to calculate",""))</f>
        <v/>
      </c>
      <c r="D24" s="119"/>
      <c r="E24" s="119"/>
      <c r="F24" s="119"/>
      <c r="K24" s="3"/>
      <c r="L24" s="4"/>
    </row>
    <row r="25" spans="1:12" ht="12.75" customHeight="1" x14ac:dyDescent="0.2">
      <c r="K25" s="3"/>
      <c r="L25" s="4"/>
    </row>
    <row r="26" spans="1:12" ht="12.75" customHeight="1" x14ac:dyDescent="0.2">
      <c r="K26" s="3"/>
      <c r="L26" s="4"/>
    </row>
    <row r="27" spans="1:12" ht="29.25" customHeight="1" x14ac:dyDescent="0.2">
      <c r="A27" s="10" t="s">
        <v>3</v>
      </c>
      <c r="B27" s="115" t="s">
        <v>5</v>
      </c>
      <c r="C27" s="115"/>
      <c r="D27" s="115"/>
      <c r="E27" s="115"/>
      <c r="F27" s="115"/>
      <c r="G27" s="120"/>
      <c r="H27" s="120"/>
      <c r="K27" s="3"/>
      <c r="L27" s="4"/>
    </row>
    <row r="28" spans="1:12" ht="28.5" customHeight="1" x14ac:dyDescent="0.2">
      <c r="B28" s="121" t="s">
        <v>17</v>
      </c>
      <c r="C28" s="121"/>
      <c r="D28" s="121"/>
      <c r="E28" s="121"/>
      <c r="F28" s="121"/>
      <c r="G28" s="121"/>
      <c r="H28" s="121"/>
      <c r="K28" s="3"/>
      <c r="L28" s="4"/>
    </row>
    <row r="29" spans="1:12" ht="41.25" customHeight="1" x14ac:dyDescent="0.2">
      <c r="B29" s="115" t="s">
        <v>71</v>
      </c>
      <c r="C29" s="115"/>
      <c r="D29" s="115"/>
      <c r="E29" s="115"/>
      <c r="F29" s="115"/>
      <c r="G29" s="115"/>
      <c r="H29" s="115"/>
      <c r="K29" s="3"/>
      <c r="L29" s="4"/>
    </row>
    <row r="30" spans="1:12" ht="29.25" customHeight="1" x14ac:dyDescent="0.2">
      <c r="B30" s="115" t="s">
        <v>15</v>
      </c>
      <c r="C30" s="115"/>
      <c r="D30" s="115"/>
      <c r="E30" s="115"/>
      <c r="F30" s="115"/>
      <c r="G30" s="115"/>
      <c r="H30" s="115"/>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zoomScaleNormal="100" workbookViewId="0">
      <selection activeCell="H2" sqref="H2"/>
    </sheetView>
  </sheetViews>
  <sheetFormatPr defaultRowHeight="12.75" x14ac:dyDescent="0.2"/>
  <cols>
    <col min="1" max="2" width="9" customWidth="1"/>
    <col min="3" max="3" width="11.85546875" customWidth="1"/>
    <col min="4" max="4" width="11.140625" customWidth="1"/>
    <col min="5" max="5" width="4" customWidth="1"/>
    <col min="6" max="7" width="9" customWidth="1"/>
    <col min="8" max="8" width="12.42578125" customWidth="1"/>
    <col min="9" max="9" width="11" customWidth="1"/>
    <col min="10" max="10" width="5" customWidth="1"/>
  </cols>
  <sheetData>
    <row r="2" spans="1:10" ht="16.5" thickBot="1" x14ac:dyDescent="0.25">
      <c r="A2" s="100" t="s">
        <v>109</v>
      </c>
      <c r="B2" s="100"/>
      <c r="C2" s="102" t="s">
        <v>141</v>
      </c>
      <c r="D2" s="102"/>
      <c r="E2" s="100"/>
      <c r="F2" s="100" t="s">
        <v>112</v>
      </c>
      <c r="G2" s="100"/>
      <c r="H2" s="109">
        <v>41522</v>
      </c>
      <c r="I2" s="111"/>
      <c r="J2" s="100"/>
    </row>
    <row r="3" spans="1:10" ht="15.75" x14ac:dyDescent="0.2">
      <c r="A3" s="100"/>
      <c r="B3" s="100"/>
      <c r="C3" s="100"/>
      <c r="D3" s="100"/>
      <c r="E3" s="100"/>
      <c r="F3" s="100"/>
      <c r="G3" s="100"/>
      <c r="H3" s="100"/>
      <c r="I3" s="100"/>
      <c r="J3" s="100"/>
    </row>
    <row r="4" spans="1:10" ht="16.5" thickBot="1" x14ac:dyDescent="0.3">
      <c r="A4" s="100" t="s">
        <v>110</v>
      </c>
      <c r="B4" s="100"/>
      <c r="C4" s="110">
        <v>41522</v>
      </c>
      <c r="D4" s="112">
        <v>0.33333333333333331</v>
      </c>
      <c r="E4" s="100"/>
      <c r="F4" s="100"/>
      <c r="G4" s="100"/>
      <c r="H4" s="100"/>
      <c r="I4" s="100"/>
      <c r="J4" s="100"/>
    </row>
    <row r="5" spans="1:10" ht="15.75" x14ac:dyDescent="0.2">
      <c r="A5" s="100"/>
      <c r="B5" s="100"/>
      <c r="C5" s="100"/>
      <c r="D5" s="113"/>
      <c r="E5" s="100"/>
      <c r="F5" s="100"/>
      <c r="G5" s="100"/>
      <c r="H5" s="100"/>
      <c r="I5" s="100"/>
      <c r="J5" s="100"/>
    </row>
    <row r="6" spans="1:10" ht="16.5" thickBot="1" x14ac:dyDescent="0.3">
      <c r="A6" s="100" t="s">
        <v>111</v>
      </c>
      <c r="B6" s="100"/>
      <c r="C6" s="110">
        <v>41522</v>
      </c>
      <c r="D6" s="112">
        <v>0.70833333333333337</v>
      </c>
      <c r="E6" s="100"/>
      <c r="F6" s="100" t="s">
        <v>113</v>
      </c>
      <c r="G6" s="100"/>
      <c r="H6" s="114">
        <v>8</v>
      </c>
      <c r="I6" s="111"/>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08"/>
      <c r="B24" s="105"/>
      <c r="C24" s="105"/>
      <c r="D24" s="105"/>
      <c r="E24" s="105"/>
      <c r="F24" s="105"/>
      <c r="G24" s="105"/>
      <c r="H24" s="105"/>
      <c r="I24" s="105"/>
      <c r="J24" s="105"/>
    </row>
    <row r="25" spans="1:10" ht="11.25" customHeight="1" x14ac:dyDescent="0.2">
      <c r="A25" s="106"/>
      <c r="B25" s="106"/>
      <c r="C25" s="106"/>
      <c r="D25" s="106"/>
      <c r="E25" s="106"/>
      <c r="F25" s="106"/>
      <c r="G25" s="106"/>
      <c r="H25" s="106"/>
      <c r="I25" s="106"/>
      <c r="J25" s="106"/>
    </row>
    <row r="26" spans="1:10" ht="15.75" x14ac:dyDescent="0.25">
      <c r="A26" s="108"/>
      <c r="B26" s="105"/>
      <c r="C26" s="105"/>
      <c r="D26" s="105"/>
      <c r="E26" s="105"/>
      <c r="F26" s="105"/>
      <c r="G26" s="105"/>
      <c r="H26" s="105"/>
      <c r="I26" s="105"/>
      <c r="J26" s="105"/>
    </row>
    <row r="27" spans="1:10" ht="11.25" customHeight="1" x14ac:dyDescent="0.2">
      <c r="A27" s="106"/>
      <c r="B27" s="106"/>
      <c r="C27" s="106"/>
      <c r="D27" s="106"/>
      <c r="E27" s="106"/>
      <c r="F27" s="106"/>
      <c r="G27" s="106"/>
      <c r="H27" s="106"/>
      <c r="I27" s="106"/>
      <c r="J27" s="106"/>
    </row>
    <row r="28" spans="1:10" ht="15.75" x14ac:dyDescent="0.25">
      <c r="A28" s="108"/>
      <c r="B28" s="105"/>
      <c r="C28" s="105"/>
      <c r="D28" s="105"/>
      <c r="E28" s="105"/>
      <c r="F28" s="105"/>
      <c r="G28" s="105"/>
      <c r="H28" s="105"/>
      <c r="I28" s="105"/>
      <c r="J28" s="105"/>
    </row>
    <row r="29" spans="1:10" ht="11.25" customHeight="1" x14ac:dyDescent="0.2">
      <c r="A29" s="106"/>
      <c r="B29" s="106"/>
      <c r="C29" s="106"/>
      <c r="D29" s="106"/>
      <c r="E29" s="106"/>
      <c r="F29" s="106"/>
      <c r="G29" s="106"/>
      <c r="H29" s="106"/>
      <c r="I29" s="106"/>
      <c r="J29" s="106"/>
    </row>
    <row r="30" spans="1:10" ht="16.5" thickBot="1" x14ac:dyDescent="0.25">
      <c r="A30" s="107"/>
      <c r="B30" s="107"/>
      <c r="C30" s="107"/>
      <c r="D30" s="107"/>
      <c r="E30" s="107"/>
      <c r="F30" s="107"/>
      <c r="G30" s="107"/>
      <c r="H30" s="107"/>
      <c r="I30" s="107"/>
      <c r="J30" s="107"/>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dataConsolidate/>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5" r:id="rId4" name="btnPrintTimeOffForm">
          <controlPr print="0" autoLine="0" r:id="rId5">
            <anchor moveWithCells="1">
              <from>
                <xdr:col>8</xdr:col>
                <xdr:colOff>95250</xdr:colOff>
                <xdr:row>1</xdr:row>
                <xdr:rowOff>28575</xdr:rowOff>
              </from>
              <to>
                <xdr:col>11</xdr:col>
                <xdr:colOff>28575</xdr:colOff>
                <xdr:row>6</xdr:row>
                <xdr:rowOff>85725</xdr:rowOff>
              </to>
            </anchor>
          </controlPr>
        </control>
      </mc:Choice>
      <mc:Fallback>
        <control shapeId="1397775" r:id="rId4" name="btnPrintTimeOffForm"/>
      </mc:Fallback>
    </mc:AlternateContent>
    <mc:AlternateContent xmlns:mc="http://schemas.openxmlformats.org/markup-compatibility/2006">
      <mc:Choice Requires="x14">
        <control shapeId="1397761" r:id="rId6" name="chkPTO">
          <controlPr autoFill="0" autoLine="0" r:id="rId7">
            <anchor moveWithCells="1">
              <from>
                <xdr:col>1</xdr:col>
                <xdr:colOff>381000</xdr:colOff>
                <xdr:row>8</xdr:row>
                <xdr:rowOff>190500</xdr:rowOff>
              </from>
              <to>
                <xdr:col>2</xdr:col>
                <xdr:colOff>0</xdr:colOff>
                <xdr:row>10</xdr:row>
                <xdr:rowOff>57150</xdr:rowOff>
              </to>
            </anchor>
          </controlPr>
        </control>
      </mc:Choice>
      <mc:Fallback>
        <control shapeId="1397761" r:id="rId6" name="chkPTO"/>
      </mc:Fallback>
    </mc:AlternateContent>
    <mc:AlternateContent xmlns:mc="http://schemas.openxmlformats.org/markup-compatibility/2006">
      <mc:Choice Requires="x14">
        <control shapeId="1397762" r:id="rId8" name="chkCat">
          <controlPr autoFill="0" autoLine="0" r:id="rId7">
            <anchor moveWithCells="1">
              <from>
                <xdr:col>1</xdr:col>
                <xdr:colOff>381000</xdr:colOff>
                <xdr:row>10</xdr:row>
                <xdr:rowOff>190500</xdr:rowOff>
              </from>
              <to>
                <xdr:col>2</xdr:col>
                <xdr:colOff>0</xdr:colOff>
                <xdr:row>12</xdr:row>
                <xdr:rowOff>57150</xdr:rowOff>
              </to>
            </anchor>
          </controlPr>
        </control>
      </mc:Choice>
      <mc:Fallback>
        <control shapeId="1397762" r:id="rId8" name="chkCat"/>
      </mc:Fallback>
    </mc:AlternateContent>
    <mc:AlternateContent xmlns:mc="http://schemas.openxmlformats.org/markup-compatibility/2006">
      <mc:Choice Requires="x14">
        <control shapeId="1397763" r:id="rId9" name="chkComp">
          <controlPr autoFill="0" autoLine="0" r:id="rId7">
            <anchor moveWithCells="1">
              <from>
                <xdr:col>1</xdr:col>
                <xdr:colOff>381000</xdr:colOff>
                <xdr:row>17</xdr:row>
                <xdr:rowOff>171450</xdr:rowOff>
              </from>
              <to>
                <xdr:col>2</xdr:col>
                <xdr:colOff>0</xdr:colOff>
                <xdr:row>19</xdr:row>
                <xdr:rowOff>38100</xdr:rowOff>
              </to>
            </anchor>
          </controlPr>
        </control>
      </mc:Choice>
      <mc:Fallback>
        <control shapeId="1397763" r:id="rId9" name="chkComp"/>
      </mc:Fallback>
    </mc:AlternateContent>
    <mc:AlternateContent xmlns:mc="http://schemas.openxmlformats.org/markup-compatibility/2006">
      <mc:Choice Requires="x14">
        <control shapeId="1397764" r:id="rId10" name="chkOther">
          <controlPr autoFill="0" autoLine="0" r:id="rId7">
            <anchor moveWithCells="1">
              <from>
                <xdr:col>1</xdr:col>
                <xdr:colOff>381000</xdr:colOff>
                <xdr:row>19</xdr:row>
                <xdr:rowOff>180975</xdr:rowOff>
              </from>
              <to>
                <xdr:col>2</xdr:col>
                <xdr:colOff>0</xdr:colOff>
                <xdr:row>21</xdr:row>
                <xdr:rowOff>47625</xdr:rowOff>
              </to>
            </anchor>
          </controlPr>
        </control>
      </mc:Choice>
      <mc:Fallback>
        <control shapeId="1397764" r:id="rId10" name="chkOther"/>
      </mc:Fallback>
    </mc:AlternateContent>
    <mc:AlternateContent xmlns:mc="http://schemas.openxmlformats.org/markup-compatibility/2006">
      <mc:Choice Requires="x14">
        <control shapeId="1397765" r:id="rId11" name="chkCompEarned">
          <controlPr autoFill="0" autoLine="0" r:id="rId7">
            <anchor moveWithCells="1">
              <from>
                <xdr:col>0</xdr:col>
                <xdr:colOff>381000</xdr:colOff>
                <xdr:row>30</xdr:row>
                <xdr:rowOff>180975</xdr:rowOff>
              </from>
              <to>
                <xdr:col>1</xdr:col>
                <xdr:colOff>0</xdr:colOff>
                <xdr:row>32</xdr:row>
                <xdr:rowOff>47625</xdr:rowOff>
              </to>
            </anchor>
          </controlPr>
        </control>
      </mc:Choice>
      <mc:Fallback>
        <control shapeId="1397765" r:id="rId11" name="chkCompEarned"/>
      </mc:Fallback>
    </mc:AlternateContent>
    <mc:AlternateContent xmlns:mc="http://schemas.openxmlformats.org/markup-compatibility/2006">
      <mc:Choice Requires="x14">
        <control shapeId="1397766" r:id="rId12" name="chkOvertimeEarned">
          <controlPr autoFill="0" autoLine="0" r:id="rId7">
            <anchor moveWithCells="1">
              <from>
                <xdr:col>0</xdr:col>
                <xdr:colOff>381000</xdr:colOff>
                <xdr:row>33</xdr:row>
                <xdr:rowOff>180975</xdr:rowOff>
              </from>
              <to>
                <xdr:col>1</xdr:col>
                <xdr:colOff>0</xdr:colOff>
                <xdr:row>35</xdr:row>
                <xdr:rowOff>47625</xdr:rowOff>
              </to>
            </anchor>
          </controlPr>
        </control>
      </mc:Choice>
      <mc:Fallback>
        <control shapeId="1397766" r:id="rId12" name="chkOvertimeEarned"/>
      </mc:Fallback>
    </mc:AlternateContent>
    <mc:AlternateContent xmlns:mc="http://schemas.openxmlformats.org/markup-compatibility/2006">
      <mc:Choice Requires="x14">
        <control shapeId="1397769" r:id="rId13" name="boxEmployeeName">
          <controlPr print="0" autoFill="0" autoLine="0" linkedCell="$C$2" listFillRange="References!$A$2:$A$13" r:id="rId14">
            <anchor moveWithCells="1">
              <from>
                <xdr:col>2</xdr:col>
                <xdr:colOff>0</xdr:colOff>
                <xdr:row>1</xdr:row>
                <xdr:rowOff>0</xdr:rowOff>
              </from>
              <to>
                <xdr:col>4</xdr:col>
                <xdr:colOff>0</xdr:colOff>
                <xdr:row>1</xdr:row>
                <xdr:rowOff>190500</xdr:rowOff>
              </to>
            </anchor>
          </controlPr>
        </control>
      </mc:Choice>
      <mc:Fallback>
        <control shapeId="1397769" r:id="rId13" name="boxEmployeeName"/>
      </mc:Fallback>
    </mc:AlternateContent>
    <mc:AlternateContent xmlns:mc="http://schemas.openxmlformats.org/markup-compatibility/2006">
      <mc:Choice Requires="x14">
        <control shapeId="1397777" r:id="rId15" name="lblPrintLabel">
          <controlPr print="0" autoLine="0" r:id="rId16">
            <anchor moveWithCells="1">
              <from>
                <xdr:col>11</xdr:col>
                <xdr:colOff>123825</xdr:colOff>
                <xdr:row>1</xdr:row>
                <xdr:rowOff>180975</xdr:rowOff>
              </from>
              <to>
                <xdr:col>12</xdr:col>
                <xdr:colOff>180975</xdr:colOff>
                <xdr:row>5</xdr:row>
                <xdr:rowOff>190500</xdr:rowOff>
              </to>
            </anchor>
          </controlPr>
        </control>
      </mc:Choice>
      <mc:Fallback>
        <control shapeId="1397777" r:id="rId15"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2" t="s">
        <v>26</v>
      </c>
      <c r="B1" s="122"/>
      <c r="C1" s="122"/>
      <c r="D1" s="122"/>
      <c r="E1" s="122"/>
      <c r="N1" s="123" t="s">
        <v>39</v>
      </c>
      <c r="O1" s="123"/>
      <c r="P1" s="123"/>
      <c r="Q1" s="123"/>
      <c r="R1" s="123"/>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3" sqref="A3"/>
    </sheetView>
  </sheetViews>
  <sheetFormatPr defaultRowHeight="12.75" x14ac:dyDescent="0.2"/>
  <sheetData>
    <row r="1" spans="1:1" x14ac:dyDescent="0.2">
      <c r="A1" t="s">
        <v>140</v>
      </c>
    </row>
    <row r="2" spans="1:1" x14ac:dyDescent="0.2">
      <c r="A2" t="s">
        <v>141</v>
      </c>
    </row>
    <row r="3" spans="1:1" x14ac:dyDescent="0.2">
      <c r="A3" t="s">
        <v>129</v>
      </c>
    </row>
    <row r="4" spans="1:1" x14ac:dyDescent="0.2">
      <c r="A4" t="s">
        <v>130</v>
      </c>
    </row>
    <row r="5" spans="1:1" x14ac:dyDescent="0.2">
      <c r="A5" t="s">
        <v>132</v>
      </c>
    </row>
    <row r="6" spans="1:1" x14ac:dyDescent="0.2">
      <c r="A6" t="s">
        <v>139</v>
      </c>
    </row>
    <row r="7" spans="1:1" x14ac:dyDescent="0.2">
      <c r="A7" t="s">
        <v>133</v>
      </c>
    </row>
    <row r="8" spans="1:1" x14ac:dyDescent="0.2">
      <c r="A8" t="s">
        <v>138</v>
      </c>
    </row>
    <row r="9" spans="1:1" x14ac:dyDescent="0.2">
      <c r="A9" t="s">
        <v>137</v>
      </c>
    </row>
    <row r="10" spans="1:1" x14ac:dyDescent="0.2">
      <c r="A10" t="s">
        <v>136</v>
      </c>
    </row>
    <row r="11" spans="1:1" x14ac:dyDescent="0.2">
      <c r="A11" t="s">
        <v>131</v>
      </c>
    </row>
    <row r="12" spans="1:1" x14ac:dyDescent="0.2">
      <c r="A12" t="s">
        <v>135</v>
      </c>
    </row>
    <row r="13" spans="1:1" x14ac:dyDescent="0.2">
      <c r="A13" t="s">
        <v>134</v>
      </c>
    </row>
  </sheetData>
  <sheetProtection password="ED3E" sheet="1" objects="1" scenarios="1"/>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2013-09-03T17:08:40Z</cp:lastPrinted>
  <dcterms:created xsi:type="dcterms:W3CDTF">2011-08-11T20:04:03Z</dcterms:created>
  <dcterms:modified xsi:type="dcterms:W3CDTF">2013-09-04T20:14:58Z</dcterms:modified>
</cp:coreProperties>
</file>