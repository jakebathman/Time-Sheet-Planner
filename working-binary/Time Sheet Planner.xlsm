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9.bin" ContentType="application/vnd.ms-office.activeX"/>
  <Override PartName="/xl/activeX/activeX1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activeTab="3"/>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G11" i="1832" l="1"/>
  <c r="H11" i="1832" s="1"/>
  <c r="L9" i="1832"/>
  <c r="D9" i="5" l="1"/>
  <c r="K12" i="1832" l="1"/>
  <c r="K10" i="1832"/>
  <c r="K13" i="1832" s="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J9" i="1832"/>
  <c r="L8" i="1832"/>
  <c r="J8" i="1832"/>
  <c r="L7" i="1832"/>
  <c r="J7" i="1832"/>
  <c r="L6" i="1832"/>
  <c r="J6" i="1832"/>
  <c r="L5" i="1832"/>
  <c r="J5" i="1832"/>
  <c r="J4" i="1832"/>
  <c r="J3" i="1832"/>
  <c r="A22" i="1836" l="1"/>
  <c r="A23" i="1836" s="1"/>
  <c r="B21" i="1836"/>
  <c r="B22" i="1836" s="1"/>
  <c r="A24" i="1836" l="1"/>
  <c r="C23" i="1836"/>
  <c r="C24" i="1836" l="1"/>
  <c r="B24" i="1836"/>
  <c r="D3" i="5" l="1"/>
  <c r="B7" i="5"/>
  <c r="K11" i="1832" l="1"/>
  <c r="K16" i="1836"/>
  <c r="L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<sst xmlns="http://schemas.openxmlformats.org/spreadsheetml/2006/main" count="200" uniqueCount="142">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</sst>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11.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8"/>
  <ax:ocxPr ax:name="Day" ax:value="3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10.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8"/>
  <ax:ocxPr ax:name="Day" ax:value="3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911"/>
  <ax:ocxPr ax:name="_ExtentY" ax:value="4974"/>
  <ax:ocxPr ax:name="_StockProps" ax:value="1"/>
  <ax:ocxPr ax:name="BackColor" ax:value="14737632"/>
  <ax:ocxPr ax:name="Year" ax:value="2013"/>
  <ax:ocxPr ax:name="Month" ax:value="8"/>
  <ax:ocxPr ax:name="Day" ax:value="3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6</xdr:col>
          <xdr:colOff>361950</xdr:colOff>
          <xdr:row>13</xdr:row>
          <xdr:rowOff>19050</xdr:rowOff>
        </xdr:to>
        <xdr:sp macro="" textlink="">
          <xdr:nvSpPr>
            <xdr:cNvPr id="1397772" name="calFromDate" hidden="1">
              <a:extLst>
                <a:ext uri="{63B3BB69-23CF-44E3-9099-C40C66FF867C}">
                  <a14:compatExt spid="_x0000_s13977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xdr:row>
          <xdr:rowOff>47625</xdr:rowOff>
        </xdr:from>
        <xdr:to>
          <xdr:col>6</xdr:col>
          <xdr:colOff>361950</xdr:colOff>
          <xdr:row>15</xdr:row>
          <xdr:rowOff>66675</xdr:rowOff>
        </xdr:to>
        <xdr:sp macro="" textlink="">
          <xdr:nvSpPr>
            <xdr:cNvPr id="1397774" name="calToDate" hidden="1">
              <a:extLst>
                <a:ext uri="{63B3BB69-23CF-44E3-9099-C40C66FF867C}">
                  <a14:compatExt spid="_x0000_s13977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xdr:row>
          <xdr:rowOff>19050</xdr:rowOff>
        </xdr:from>
        <xdr:to>
          <xdr:col>8</xdr:col>
          <xdr:colOff>733425</xdr:colOff>
          <xdr:row>10</xdr:row>
          <xdr:rowOff>180975</xdr:rowOff>
        </xdr:to>
        <xdr:sp macro="" textlink="">
          <xdr:nvSpPr>
            <xdr:cNvPr id="1397776" name="calDateSubmitted" hidden="1">
              <a:extLst>
                <a:ext uri="{63B3BB69-23CF-44E3-9099-C40C66FF867C}">
                  <a14:compatExt spid="_x0000_s1397776"/>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18" Type="http://schemas.openxmlformats.org/officeDocument/2006/relationships/image" Target="../media/image6.emf"/><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17" Type="http://schemas.openxmlformats.org/officeDocument/2006/relationships/control" Target="../activeX/activeX11.xml"/><Relationship Id="rId2" Type="http://schemas.openxmlformats.org/officeDocument/2006/relationships/drawing" Target="../drawings/drawing4.xml"/><Relationship Id="rId16" Type="http://schemas.openxmlformats.org/officeDocument/2006/relationships/image" Target="../media/image5.emf"/><Relationship Id="rId20" Type="http://schemas.openxmlformats.org/officeDocument/2006/relationships/image" Target="../media/image7.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control" Target="../activeX/activeX12.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6.5703125" customWidth="1"/>
    <col min="9" max="9" width="3" hidden="1" customWidth="1"/>
    <col min="10" max="10" width="1.7109375" hidden="1" customWidth="1"/>
    <col min="11" max="11" width="21.42578125" customWidth="1"/>
    <col min="12" max="12" width="34.140625"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x14ac:dyDescent="0.2">
      <c r="A4" s="87" t="s">
        <v>10</v>
      </c>
      <c r="B4" s="36"/>
      <c r="C4" s="37"/>
      <c r="D4" s="37"/>
      <c r="E4" s="37"/>
      <c r="F4" s="66"/>
      <c r="G4" s="37"/>
      <c r="H4" s="30"/>
      <c r="I4" s="32"/>
      <c r="J4" s="38" t="str">
        <f t="shared" ref="J4:J9" si="1">IF(OR(I4="comp",I4="cat",I4="pto",I4=""),"",I4)</f>
        <v/>
      </c>
      <c r="K4" s="79"/>
      <c r="L4" s="34" t="str">
        <f t="shared" si="0"/>
        <v/>
      </c>
      <c r="M4" s="40"/>
    </row>
    <row r="5" spans="1:13" x14ac:dyDescent="0.2">
      <c r="A5" s="87" t="s">
        <v>12</v>
      </c>
      <c r="B5" s="36"/>
      <c r="C5" s="37"/>
      <c r="D5" s="37"/>
      <c r="E5" s="37"/>
      <c r="F5" s="37"/>
      <c r="G5" s="37"/>
      <c r="H5" s="30"/>
      <c r="I5" s="32"/>
      <c r="J5" s="38" t="str">
        <f t="shared" si="1"/>
        <v/>
      </c>
      <c r="K5" s="79"/>
      <c r="L5" s="34" t="str">
        <f t="shared" si="0"/>
        <v/>
      </c>
      <c r="M5" s="40"/>
    </row>
    <row r="6" spans="1:13" x14ac:dyDescent="0.2">
      <c r="A6" s="87" t="s">
        <v>8</v>
      </c>
      <c r="B6" s="36"/>
      <c r="C6" s="37"/>
      <c r="D6" s="37"/>
      <c r="E6" s="37"/>
      <c r="F6" s="37"/>
      <c r="G6" s="37"/>
      <c r="H6" s="30"/>
      <c r="I6" s="32"/>
      <c r="J6" s="38" t="str">
        <f t="shared" si="1"/>
        <v/>
      </c>
      <c r="K6" s="79"/>
      <c r="L6" s="34" t="str">
        <f t="shared" si="0"/>
        <v/>
      </c>
      <c r="M6" s="40"/>
    </row>
    <row r="7" spans="1:13" x14ac:dyDescent="0.2">
      <c r="A7" s="87" t="s">
        <v>14</v>
      </c>
      <c r="B7" s="36"/>
      <c r="C7" s="37"/>
      <c r="D7" s="37"/>
      <c r="E7" s="37"/>
      <c r="F7" s="37"/>
      <c r="G7" s="37"/>
      <c r="H7" s="56"/>
      <c r="I7" s="32"/>
      <c r="J7" s="38" t="str">
        <f t="shared" si="1"/>
        <v/>
      </c>
      <c r="K7" s="79"/>
      <c r="L7" s="34" t="str">
        <f t="shared" si="0"/>
        <v/>
      </c>
      <c r="M7" s="40"/>
    </row>
    <row r="8" spans="1:13" x14ac:dyDescent="0.2">
      <c r="A8" s="86" t="s">
        <v>7</v>
      </c>
      <c r="B8" s="36"/>
      <c r="C8" s="37"/>
      <c r="D8" s="37"/>
      <c r="E8" s="37"/>
      <c r="F8" s="37"/>
      <c r="G8" s="37"/>
      <c r="H8" s="56"/>
      <c r="I8" s="32"/>
      <c r="J8" s="38" t="str">
        <f t="shared" si="1"/>
        <v/>
      </c>
      <c r="K8" s="79"/>
      <c r="L8" s="34" t="str">
        <f t="shared" si="0"/>
        <v/>
      </c>
      <c r="M8" s="40"/>
    </row>
    <row r="9" spans="1:13" s="11" customFormat="1" ht="13.5"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I10" s="2"/>
      <c r="J10" s="2"/>
      <c r="K10" s="75">
        <f>SUM(K3:K9)</f>
        <v>0</v>
      </c>
      <c r="L10" s="26"/>
      <c r="M10" s="76"/>
    </row>
    <row r="11" spans="1:13" ht="54.75" customHeight="1" x14ac:dyDescent="0.2">
      <c r="B11" s="6"/>
      <c r="C11" s="6"/>
      <c r="D11" s="6"/>
      <c r="E11" s="6"/>
      <c r="F11" s="6"/>
      <c r="G11" s="87" t="str">
        <f>IF((SUM(H3:H9)=0),"","Total time off used:")</f>
        <v/>
      </c>
      <c r="H11" s="104" t="str">
        <f>IF((G11=""),"",CONCATENATE(SUM(H3:H7)," hours"))</f>
        <v/>
      </c>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"),IF(AND((K10-B1)&gt;0,H11&gt;0, H11&lt;&gt;""),"Woah,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I12" s="5"/>
      <c r="J12" s="5"/>
      <c r="K12" s="3" t="str">
        <f>IF(SUM(H3:H9)&gt;=(B1*0.8),"Vacation week, huh?","")</f>
        <v/>
      </c>
      <c r="L12" s="4"/>
    </row>
    <row r="13" spans="1:13" x14ac:dyDescent="0.2">
      <c r="B13" s="89"/>
      <c r="C13" s="6"/>
      <c r="D13" s="6"/>
      <c r="E13" s="6"/>
      <c r="F13" s="67"/>
      <c r="G13" s="90"/>
      <c r="H13" s="15"/>
      <c r="K13" s="3" t="str">
        <f>IF(OR(K10=0,K10&gt;=B1),"",IF(ISBLANK(B7)=FALSE,"",CONCATENATE("On track for ~", ((COUNTBLANK(K3:K7)-4)*MROUND(AVERAGE(K3:K7),0.25))+K10," hrs. total")))</f>
        <v/>
      </c>
      <c r="L13" s="19"/>
    </row>
    <row r="14" spans="1:13" x14ac:dyDescent="0.2">
      <c r="A14" s="91"/>
      <c r="B14" s="92"/>
      <c r="C14" s="92"/>
      <c r="D14" s="71"/>
      <c r="G14" s="14"/>
      <c r="H14" s="15"/>
      <c r="K14" s="3"/>
      <c r="L14" s="4"/>
    </row>
    <row r="15" spans="1:13" x14ac:dyDescent="0.2">
      <c r="B15" s="67"/>
      <c r="G15" s="14"/>
      <c r="H15" s="15"/>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2" t="str">
        <f>IF(K15&gt;=B1,"",IF(AND(COUNTIF(K3:K11,"&gt;=4")=4,COUNTIF(B9:B12,"&gt;0")&gt;2),CONCATENATE("Trying to hit ",B1," hours exactly? Estimate your final punch below"),""))</f>
        <v/>
      </c>
      <c r="B19" s="113"/>
      <c r="C19" s="11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3"/>
      <c r="L24" s="4"/>
    </row>
    <row r="25" spans="1:12" ht="12.75" customHeight="1" x14ac:dyDescent="0.2">
      <c r="K25" s="3"/>
      <c r="L25" s="4"/>
    </row>
    <row r="26" spans="1:12" ht="12.75" customHeight="1" x14ac:dyDescent="0.2">
      <c r="K26" s="3"/>
      <c r="L26" s="4"/>
    </row>
    <row r="27" spans="1:12" ht="29.25" customHeight="1" x14ac:dyDescent="0.2">
      <c r="A27" s="10" t="s">
        <v>3</v>
      </c>
      <c r="B27" s="111" t="s">
        <v>5</v>
      </c>
      <c r="C27" s="111"/>
      <c r="D27" s="111"/>
      <c r="E27" s="111"/>
      <c r="F27" s="111"/>
      <c r="G27" s="116"/>
      <c r="H27" s="116"/>
      <c r="K27" s="3"/>
      <c r="L27" s="4"/>
    </row>
    <row r="28" spans="1:12" ht="28.5" customHeight="1" x14ac:dyDescent="0.2">
      <c r="B28" s="117" t="s">
        <v>17</v>
      </c>
      <c r="C28" s="117"/>
      <c r="D28" s="117"/>
      <c r="E28" s="117"/>
      <c r="F28" s="117"/>
      <c r="G28" s="117"/>
      <c r="H28" s="117"/>
      <c r="K28" s="3"/>
      <c r="L28" s="4"/>
    </row>
    <row r="29" spans="1:12" ht="41.25" customHeight="1" x14ac:dyDescent="0.2">
      <c r="B29" s="111" t="s">
        <v>71</v>
      </c>
      <c r="C29" s="111"/>
      <c r="D29" s="111"/>
      <c r="E29" s="111"/>
      <c r="F29" s="111"/>
      <c r="G29" s="111"/>
      <c r="H29" s="111"/>
      <c r="K29" s="3"/>
      <c r="L29" s="4"/>
    </row>
    <row r="30" spans="1:12" ht="29.25" customHeight="1" x14ac:dyDescent="0.2">
      <c r="B30" s="111" t="s">
        <v>15</v>
      </c>
      <c r="C30" s="111"/>
      <c r="D30" s="111"/>
      <c r="E30" s="111"/>
      <c r="F30" s="111"/>
      <c r="G30" s="111"/>
      <c r="H30" s="11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2" t="str">
        <f>IF(K15&gt;=B1,"",IF(AND(COUNTIF(K3:K11,"&gt;=4")=4,COUNTIF(B9:B12,"&gt;0")&gt;2),CONCATENATE("Trying to hit ",B1," hours exactly? Estimate your final punch below"),""))</f>
        <v/>
      </c>
      <c r="B19" s="113"/>
      <c r="C19" s="11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3"/>
      <c r="L24" s="4"/>
    </row>
    <row r="25" spans="1:12" ht="12.75" customHeight="1" x14ac:dyDescent="0.2">
      <c r="K25" s="3"/>
      <c r="L25" s="4"/>
    </row>
    <row r="26" spans="1:12" ht="12.75" customHeight="1" x14ac:dyDescent="0.2">
      <c r="K26" s="3"/>
      <c r="L26" s="4"/>
    </row>
    <row r="27" spans="1:12" ht="29.25" customHeight="1" x14ac:dyDescent="0.2">
      <c r="A27" s="10" t="s">
        <v>3</v>
      </c>
      <c r="B27" s="111" t="s">
        <v>5</v>
      </c>
      <c r="C27" s="111"/>
      <c r="D27" s="111"/>
      <c r="E27" s="111"/>
      <c r="F27" s="111"/>
      <c r="G27" s="116"/>
      <c r="H27" s="116"/>
      <c r="K27" s="3"/>
      <c r="L27" s="4"/>
    </row>
    <row r="28" spans="1:12" ht="28.5" customHeight="1" x14ac:dyDescent="0.2">
      <c r="B28" s="117" t="s">
        <v>17</v>
      </c>
      <c r="C28" s="117"/>
      <c r="D28" s="117"/>
      <c r="E28" s="117"/>
      <c r="F28" s="117"/>
      <c r="G28" s="117"/>
      <c r="H28" s="117"/>
      <c r="K28" s="3"/>
      <c r="L28" s="4"/>
    </row>
    <row r="29" spans="1:12" ht="41.25" customHeight="1" x14ac:dyDescent="0.2">
      <c r="B29" s="111" t="s">
        <v>71</v>
      </c>
      <c r="C29" s="111"/>
      <c r="D29" s="111"/>
      <c r="E29" s="111"/>
      <c r="F29" s="111"/>
      <c r="G29" s="111"/>
      <c r="H29" s="111"/>
      <c r="K29" s="3"/>
      <c r="L29" s="4"/>
    </row>
    <row r="30" spans="1:12" ht="29.25" customHeight="1" x14ac:dyDescent="0.2">
      <c r="B30" s="111" t="s">
        <v>15</v>
      </c>
      <c r="C30" s="111"/>
      <c r="D30" s="111"/>
      <c r="E30" s="111"/>
      <c r="F30" s="111"/>
      <c r="G30" s="111"/>
      <c r="H30" s="11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tabSelected="1" zoomScaleNormal="100" workbookViewId="0">
      <selection activeCell="F20" sqref="F20"/>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41516</v>
      </c>
      <c r="I2" s="120"/>
      <c r="J2" s="100"/>
    </row>
    <row r="3" spans="1:10" ht="15.75" x14ac:dyDescent="0.2">
      <c r="A3" s="100"/>
      <c r="B3" s="100"/>
      <c r="C3" s="100"/>
      <c r="D3" s="100"/>
      <c r="E3" s="100"/>
      <c r="F3" s="100"/>
      <c r="G3" s="100"/>
      <c r="H3" s="100"/>
      <c r="I3" s="100"/>
      <c r="J3" s="100"/>
    </row>
    <row r="4" spans="1:10" ht="16.5" thickBot="1" x14ac:dyDescent="0.3">
      <c r="A4" s="100" t="s">
        <v>110</v>
      </c>
      <c r="B4" s="100"/>
      <c r="C4" s="110">
        <v>41516</v>
      </c>
      <c r="D4" s="121">
        <v>0.33333333333333331</v>
      </c>
      <c r="E4" s="100"/>
      <c r="F4" s="100"/>
      <c r="G4" s="100"/>
      <c r="H4" s="100"/>
      <c r="I4" s="100"/>
      <c r="J4" s="100"/>
    </row>
    <row r="5" spans="1:10" ht="15.75" x14ac:dyDescent="0.2">
      <c r="A5" s="100"/>
      <c r="B5" s="100"/>
      <c r="C5" s="100"/>
      <c r="D5" s="122"/>
      <c r="E5" s="100"/>
      <c r="F5" s="100"/>
      <c r="G5" s="100"/>
      <c r="H5" s="100"/>
      <c r="I5" s="100"/>
      <c r="J5" s="100"/>
    </row>
    <row r="6" spans="1:10" ht="16.5" thickBot="1" x14ac:dyDescent="0.3">
      <c r="A6" s="100" t="s">
        <v>111</v>
      </c>
      <c r="B6" s="100"/>
      <c r="C6" s="110">
        <v>41516</v>
      </c>
      <c r="D6" s="121">
        <v>0.70833333333333337</v>
      </c>
      <c r="E6" s="100"/>
      <c r="F6" s="100" t="s">
        <v>113</v>
      </c>
      <c r="G6" s="100"/>
      <c r="H6" s="123">
        <v>8</v>
      </c>
      <c r="I6" s="120"/>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69" r:id="rId4" name="boxEmployeeName">
          <controlPr print="0" autoFill="0" autoLine="0" autoPict="0" linkedCell="$C$2" listFillRange="References!$A$2:$A$13" r:id="rId5">
            <anchor moveWithCells="1">
              <from>
                <xdr:col>2</xdr:col>
                <xdr:colOff>0</xdr:colOff>
                <xdr:row>1</xdr:row>
                <xdr:rowOff>0</xdr:rowOff>
              </from>
              <to>
                <xdr:col>4</xdr:col>
                <xdr:colOff>0</xdr:colOff>
                <xdr:row>1</xdr:row>
                <xdr:rowOff>190500</xdr:rowOff>
              </to>
            </anchor>
          </controlPr>
        </control>
      </mc:Choice>
      <mc:Fallback>
        <control shapeId="1397769" r:id="rId4" name="boxEmployeeName"/>
      </mc:Fallback>
    </mc:AlternateContent>
    <mc:AlternateContent xmlns:mc="http://schemas.openxmlformats.org/markup-compatibility/2006">
      <mc:Choice Requires="x14">
        <control shapeId="1397766" r:id="rId6" name="chkOvertimeEarned">
          <controlPr autoFill="0" autoLine="0" autoPict="0" r:id="rId7">
            <anchor moveWithCells="1">
              <from>
                <xdr:col>0</xdr:col>
                <xdr:colOff>381000</xdr:colOff>
                <xdr:row>33</xdr:row>
                <xdr:rowOff>180975</xdr:rowOff>
              </from>
              <to>
                <xdr:col>1</xdr:col>
                <xdr:colOff>0</xdr:colOff>
                <xdr:row>35</xdr:row>
                <xdr:rowOff>47625</xdr:rowOff>
              </to>
            </anchor>
          </controlPr>
        </control>
      </mc:Choice>
      <mc:Fallback>
        <control shapeId="1397766" r:id="rId6" name="chkOvertimeEarned"/>
      </mc:Fallback>
    </mc:AlternateContent>
    <mc:AlternateContent xmlns:mc="http://schemas.openxmlformats.org/markup-compatibility/2006">
      <mc:Choice Requires="x14">
        <control shapeId="1397765" r:id="rId8" name="chkCompEarned">
          <controlPr autoFill="0" autoLine="0" autoPict="0" r:id="rId7">
            <anchor moveWithCells="1">
              <from>
                <xdr:col>0</xdr:col>
                <xdr:colOff>381000</xdr:colOff>
                <xdr:row>30</xdr:row>
                <xdr:rowOff>180975</xdr:rowOff>
              </from>
              <to>
                <xdr:col>1</xdr:col>
                <xdr:colOff>0</xdr:colOff>
                <xdr:row>32</xdr:row>
                <xdr:rowOff>47625</xdr:rowOff>
              </to>
            </anchor>
          </controlPr>
        </control>
      </mc:Choice>
      <mc:Fallback>
        <control shapeId="1397765" r:id="rId8" name="chkCompEarned"/>
      </mc:Fallback>
    </mc:AlternateContent>
    <mc:AlternateContent xmlns:mc="http://schemas.openxmlformats.org/markup-compatibility/2006">
      <mc:Choice Requires="x14">
        <control shapeId="1397764" r:id="rId9" name="chkOther">
          <controlPr autoFill="0" autoLine="0" autoPict="0" r:id="rId7">
            <anchor moveWithCells="1">
              <from>
                <xdr:col>1</xdr:col>
                <xdr:colOff>381000</xdr:colOff>
                <xdr:row>19</xdr:row>
                <xdr:rowOff>180975</xdr:rowOff>
              </from>
              <to>
                <xdr:col>2</xdr:col>
                <xdr:colOff>0</xdr:colOff>
                <xdr:row>21</xdr:row>
                <xdr:rowOff>47625</xdr:rowOff>
              </to>
            </anchor>
          </controlPr>
        </control>
      </mc:Choice>
      <mc:Fallback>
        <control shapeId="1397764" r:id="rId9" name="chkOther"/>
      </mc:Fallback>
    </mc:AlternateContent>
    <mc:AlternateContent xmlns:mc="http://schemas.openxmlformats.org/markup-compatibility/2006">
      <mc:Choice Requires="x14">
        <control shapeId="1397763" r:id="rId10" name="chkComp">
          <controlPr autoFill="0" autoLine="0" autoPict="0" r:id="rId7">
            <anchor moveWithCells="1">
              <from>
                <xdr:col>1</xdr:col>
                <xdr:colOff>381000</xdr:colOff>
                <xdr:row>17</xdr:row>
                <xdr:rowOff>171450</xdr:rowOff>
              </from>
              <to>
                <xdr:col>2</xdr:col>
                <xdr:colOff>0</xdr:colOff>
                <xdr:row>19</xdr:row>
                <xdr:rowOff>38100</xdr:rowOff>
              </to>
            </anchor>
          </controlPr>
        </control>
      </mc:Choice>
      <mc:Fallback>
        <control shapeId="1397763" r:id="rId10" name="chkComp"/>
      </mc:Fallback>
    </mc:AlternateContent>
    <mc:AlternateContent xmlns:mc="http://schemas.openxmlformats.org/markup-compatibility/2006">
      <mc:Choice Requires="x14">
        <control shapeId="1397762" r:id="rId11" name="chkCat">
          <controlPr autoFill="0" autoLine="0" autoPict="0" r:id="rId7">
            <anchor moveWithCells="1">
              <from>
                <xdr:col>1</xdr:col>
                <xdr:colOff>381000</xdr:colOff>
                <xdr:row>10</xdr:row>
                <xdr:rowOff>190500</xdr:rowOff>
              </from>
              <to>
                <xdr:col>2</xdr:col>
                <xdr:colOff>0</xdr:colOff>
                <xdr:row>12</xdr:row>
                <xdr:rowOff>57150</xdr:rowOff>
              </to>
            </anchor>
          </controlPr>
        </control>
      </mc:Choice>
      <mc:Fallback>
        <control shapeId="1397762" r:id="rId11" name="chkCat"/>
      </mc:Fallback>
    </mc:AlternateContent>
    <mc:AlternateContent xmlns:mc="http://schemas.openxmlformats.org/markup-compatibility/2006">
      <mc:Choice Requires="x14">
        <control shapeId="1397761" r:id="rId12" name="chkPTO">
          <controlPr autoFill="0" autoLine="0" autoPict="0" r:id="rId7">
            <anchor moveWithCells="1">
              <from>
                <xdr:col>1</xdr:col>
                <xdr:colOff>381000</xdr:colOff>
                <xdr:row>8</xdr:row>
                <xdr:rowOff>190500</xdr:rowOff>
              </from>
              <to>
                <xdr:col>2</xdr:col>
                <xdr:colOff>0</xdr:colOff>
                <xdr:row>10</xdr:row>
                <xdr:rowOff>57150</xdr:rowOff>
              </to>
            </anchor>
          </controlPr>
        </control>
      </mc:Choice>
      <mc:Fallback>
        <control shapeId="1397761" r:id="rId12" name="chkPTO"/>
      </mc:Fallback>
    </mc:AlternateContent>
    <mc:AlternateContent xmlns:mc="http://schemas.openxmlformats.org/markup-compatibility/2006">
      <mc:Choice Requires="x14">
        <control shapeId="1397772" r:id="rId13" name="calFromDate">
          <controlPr defaultSize="0" print="0" autoLine="0" autoPict="0" r:id="rId14">
            <anchor moveWithCells="1">
              <from>
                <xdr:col>2</xdr:col>
                <xdr:colOff>9525</xdr:colOff>
                <xdr:row>4</xdr:row>
                <xdr:rowOff>9525</xdr:rowOff>
              </from>
              <to>
                <xdr:col>6</xdr:col>
                <xdr:colOff>361950</xdr:colOff>
                <xdr:row>13</xdr:row>
                <xdr:rowOff>19050</xdr:rowOff>
              </to>
            </anchor>
          </controlPr>
        </control>
      </mc:Choice>
      <mc:Fallback>
        <control shapeId="1397772" r:id="rId13" name="calFromDate"/>
      </mc:Fallback>
    </mc:AlternateContent>
    <mc:AlternateContent xmlns:mc="http://schemas.openxmlformats.org/markup-compatibility/2006">
      <mc:Choice Requires="x14">
        <control shapeId="1397774" r:id="rId15" name="calToDate">
          <controlPr defaultSize="0" print="0" autoLine="0" autoPict="0" r:id="rId16">
            <anchor moveWithCells="1">
              <from>
                <xdr:col>2</xdr:col>
                <xdr:colOff>9525</xdr:colOff>
                <xdr:row>6</xdr:row>
                <xdr:rowOff>47625</xdr:rowOff>
              </from>
              <to>
                <xdr:col>6</xdr:col>
                <xdr:colOff>361950</xdr:colOff>
                <xdr:row>15</xdr:row>
                <xdr:rowOff>66675</xdr:rowOff>
              </to>
            </anchor>
          </controlPr>
        </control>
      </mc:Choice>
      <mc:Fallback>
        <control shapeId="1397774" r:id="rId15" name="calToDate"/>
      </mc:Fallback>
    </mc:AlternateContent>
    <mc:AlternateContent xmlns:mc="http://schemas.openxmlformats.org/markup-compatibility/2006">
      <mc:Choice Requires="x14">
        <control shapeId="1397775" r:id="rId17" name="btnPrintTimeOffForm">
          <controlPr print="0" autoLine="0" autoPict="0" r:id="rId18">
            <anchor moveWithCells="1">
              <from>
                <xdr:col>8</xdr:col>
                <xdr:colOff>95250</xdr:colOff>
                <xdr:row>1</xdr:row>
                <xdr:rowOff>28575</xdr:rowOff>
              </from>
              <to>
                <xdr:col>11</xdr:col>
                <xdr:colOff>28575</xdr:colOff>
                <xdr:row>6</xdr:row>
                <xdr:rowOff>85725</xdr:rowOff>
              </to>
            </anchor>
          </controlPr>
        </control>
      </mc:Choice>
      <mc:Fallback>
        <control shapeId="1397775" r:id="rId17" name="btnPrintTimeOffForm"/>
      </mc:Fallback>
    </mc:AlternateContent>
    <mc:AlternateContent xmlns:mc="http://schemas.openxmlformats.org/markup-compatibility/2006">
      <mc:Choice Requires="x14">
        <control shapeId="1397776" r:id="rId19" name="calDateSubmitted">
          <controlPr defaultSize="0" print="0" autoLine="0" autoPict="0" linkedCell="$H$2" r:id="rId20">
            <anchor moveWithCells="1">
              <from>
                <xdr:col>5</xdr:col>
                <xdr:colOff>9525</xdr:colOff>
                <xdr:row>2</xdr:row>
                <xdr:rowOff>19050</xdr:rowOff>
              </from>
              <to>
                <xdr:col>9</xdr:col>
                <xdr:colOff>0</xdr:colOff>
                <xdr:row>10</xdr:row>
                <xdr:rowOff>180975</xdr:rowOff>
              </to>
            </anchor>
          </controlPr>
        </control>
      </mc:Choice>
      <mc:Fallback>
        <control shapeId="1397776" r:id="rId19" name="calDateSubmitted"/>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18" t="s">
        <v>26</v>
      </c>
      <c r="B1" s="118"/>
      <c r="C1" s="118"/>
      <c r="D1" s="118"/>
      <c r="E1" s="118"/>
      <c r="N1" s="119" t="s">
        <v>39</v>
      </c>
      <c r="O1" s="119"/>
      <c r="P1" s="119"/>
      <c r="Q1" s="119"/>
      <c r="R1" s="119"/>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2013-08-30T15:56:54Z</cp:lastPrinted>
  <dcterms:created xsi:type="dcterms:W3CDTF">2011-08-11T20:04:03Z</dcterms:created>
  <dcterms:modified xsi:type="dcterms:W3CDTF">2013-08-30T15:57:45Z</dcterms:modified>
</cp:coreProperties>
</file>