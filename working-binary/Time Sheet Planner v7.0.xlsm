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91"/>
  </bookViews>
  <sheets>
    <sheet name="Time Sheet Planner" sheetId="1832" r:id="rId1"/>
    <sheet name="Hidden Backup of Old Backup" sheetId="1836" state="veryHidden" r:id="rId2"/>
    <sheet name="Hidden Backup of Main" sheetId="1926" state="veryHidden" r:id="rId3"/>
    <sheet name="Example" sheetId="1362" r:id="rId4"/>
    <sheet name="Supervisor Time Sheet Planner" sheetId="1927" r:id="rId5"/>
    <sheet name="User Prefs" sheetId="5" r:id="rId6"/>
    <sheet name="Changelog" sheetId="8" r:id="rId7"/>
    <sheet name="PeopleSoft" sheetId="1709" r:id="rId8"/>
  </sheets>
  <functionGroups builtInGroupCount="17"/>
  <calcPr calcId="145621"/>
</workbook>
</file>

<file path=xl/calcChain.xml><?xml version="1.0" encoding="utf-8"?>
<calcChain xmlns="http://schemas.openxmlformats.org/spreadsheetml/2006/main">
  <c r="I21" i="1927" l="1"/>
  <c r="H21" i="1927"/>
  <c r="G21" i="1927"/>
  <c r="G20" i="1927"/>
  <c r="H20" i="1927" s="1"/>
  <c r="G19" i="1927"/>
  <c r="H19" i="1927" s="1"/>
  <c r="K18" i="1927"/>
  <c r="G18" i="1927"/>
  <c r="H18" i="1927" s="1"/>
  <c r="K17" i="1927"/>
  <c r="H17" i="1927"/>
  <c r="G17" i="1927"/>
  <c r="L16" i="1927"/>
  <c r="L15" i="1927"/>
  <c r="K15" i="1927"/>
  <c r="A19" i="1927" s="1"/>
  <c r="A21" i="1927" s="1"/>
  <c r="L14" i="1927"/>
  <c r="J14" i="1927"/>
  <c r="L13" i="1927"/>
  <c r="J13" i="1927"/>
  <c r="J12" i="1927"/>
  <c r="L11" i="1927"/>
  <c r="J11" i="1927"/>
  <c r="J10" i="1927"/>
  <c r="L9" i="1927"/>
  <c r="J9" i="1927"/>
  <c r="J8" i="1927"/>
  <c r="L7" i="1927"/>
  <c r="J7" i="1927"/>
  <c r="J6" i="1927"/>
  <c r="L5" i="1927"/>
  <c r="J5" i="1927"/>
  <c r="J4" i="1927"/>
  <c r="L3" i="1927"/>
  <c r="J3" i="1927"/>
  <c r="A22" i="1927" l="1"/>
  <c r="A23" i="1927" s="1"/>
  <c r="B21" i="1927"/>
  <c r="B22" i="1927" s="1"/>
  <c r="K16" i="1927"/>
  <c r="I21" i="1926"/>
  <c r="H21" i="1926"/>
  <c r="G21" i="1926"/>
  <c r="G20" i="1926"/>
  <c r="H20" i="1926" s="1"/>
  <c r="G19" i="1926"/>
  <c r="H19" i="1926" s="1"/>
  <c r="K18" i="1926"/>
  <c r="G18" i="1926"/>
  <c r="H18" i="1926" s="1"/>
  <c r="K17" i="1926"/>
  <c r="H17" i="1926"/>
  <c r="G17" i="1926"/>
  <c r="L16" i="1926"/>
  <c r="L15" i="1926"/>
  <c r="K15" i="1926"/>
  <c r="A19" i="1926" s="1"/>
  <c r="A21" i="1926" s="1"/>
  <c r="L14" i="1926"/>
  <c r="J14" i="1926"/>
  <c r="L13" i="1926"/>
  <c r="J13" i="1926"/>
  <c r="J12" i="1926"/>
  <c r="L11" i="1926"/>
  <c r="J11" i="1926"/>
  <c r="J10" i="1926"/>
  <c r="L9" i="1926"/>
  <c r="J9" i="1926"/>
  <c r="J8" i="1926"/>
  <c r="L7" i="1926"/>
  <c r="J7" i="1926"/>
  <c r="J6" i="1926"/>
  <c r="L5" i="1926"/>
  <c r="J5" i="1926"/>
  <c r="J4" i="1926"/>
  <c r="L3" i="1926"/>
  <c r="J3" i="1926"/>
  <c r="A24" i="1927" l="1"/>
  <c r="C23" i="1927"/>
  <c r="A22" i="1926"/>
  <c r="A23" i="1926" s="1"/>
  <c r="B21" i="1926"/>
  <c r="B22" i="1926" s="1"/>
  <c r="K16" i="1926"/>
  <c r="C24" i="1927" l="1"/>
  <c r="B24" i="1927"/>
  <c r="A24" i="1926"/>
  <c r="C23" i="1926"/>
  <c r="C24" i="1926" l="1"/>
  <c r="B24" i="1926"/>
  <c r="L3" i="1832" l="1"/>
  <c r="L5"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H21" i="1832"/>
  <c r="I21" i="1832" s="1"/>
  <c r="G21" i="1832"/>
  <c r="K17" i="1832"/>
  <c r="G17" i="1832"/>
  <c r="G20" i="1832" s="1"/>
  <c r="H20" i="1832" s="1"/>
  <c r="L15" i="1832"/>
  <c r="K15" i="1832"/>
  <c r="K18" i="1832" s="1"/>
  <c r="L14" i="1832"/>
  <c r="J14" i="1832"/>
  <c r="L13" i="1832"/>
  <c r="J13" i="1832"/>
  <c r="J12" i="1832"/>
  <c r="L11" i="1832"/>
  <c r="J11" i="1832"/>
  <c r="J10" i="1832"/>
  <c r="L9" i="1832"/>
  <c r="J9" i="1832"/>
  <c r="J8" i="1832"/>
  <c r="L7" i="1832"/>
  <c r="J7" i="1832"/>
  <c r="J6" i="1832"/>
  <c r="J5" i="1832"/>
  <c r="J4" i="1832"/>
  <c r="J3" i="1832"/>
  <c r="A22" i="1836" l="1"/>
  <c r="A23" i="1836" s="1"/>
  <c r="B21" i="1836"/>
  <c r="B22" i="1836" s="1"/>
  <c r="K16" i="1836"/>
  <c r="K16" i="1832"/>
  <c r="A19" i="1832"/>
  <c r="A21" i="1832" s="1"/>
  <c r="H17" i="1832"/>
  <c r="L16" i="1832" s="1"/>
  <c r="G18" i="1832"/>
  <c r="H18" i="1832" s="1"/>
  <c r="G19" i="1832"/>
  <c r="H19" i="1832" s="1"/>
  <c r="A24" i="1836" l="1"/>
  <c r="C23" i="1836"/>
  <c r="A22" i="1832"/>
  <c r="A23" i="1832" s="1"/>
  <c r="B21" i="1832"/>
  <c r="B22" i="1832" s="1"/>
  <c r="C24" i="1836" l="1"/>
  <c r="B24" i="1836"/>
  <c r="C23" i="1832"/>
  <c r="A24" i="1832"/>
  <c r="B24" i="1832" l="1"/>
  <c r="C24" i="1832"/>
  <c r="K17" i="1362" l="1"/>
  <c r="H14" i="1362"/>
  <c r="G21" i="1362"/>
  <c r="G14" i="1362"/>
  <c r="F14" i="1362"/>
  <c r="E14" i="1362"/>
  <c r="D14" i="1362"/>
  <c r="C14" i="1362"/>
  <c r="B14" i="1362"/>
  <c r="K13" i="1362"/>
  <c r="L13" i="1362"/>
  <c r="J13" i="1362"/>
  <c r="G12" i="1362"/>
  <c r="F12" i="1362"/>
  <c r="E12" i="1362"/>
  <c r="D12" i="1362"/>
  <c r="C12" i="1362"/>
  <c r="B12" i="1362"/>
  <c r="J11" i="1362"/>
  <c r="G10" i="1362"/>
  <c r="F10" i="1362"/>
  <c r="E10" i="1362"/>
  <c r="D10" i="1362"/>
  <c r="C10" i="1362"/>
  <c r="B10" i="1362"/>
  <c r="J9" i="1362"/>
  <c r="G8" i="1362"/>
  <c r="F8" i="1362"/>
  <c r="E8" i="1362"/>
  <c r="D8" i="1362"/>
  <c r="C8" i="1362"/>
  <c r="B8" i="1362"/>
  <c r="K7" i="1362"/>
  <c r="J7" i="1362"/>
  <c r="G6" i="1362"/>
  <c r="F6" i="1362"/>
  <c r="E6" i="1362"/>
  <c r="D6" i="1362"/>
  <c r="C6" i="1362"/>
  <c r="B6" i="1362"/>
  <c r="J5" i="1362"/>
  <c r="G4" i="1362"/>
  <c r="F4" i="1362"/>
  <c r="E4" i="1362"/>
  <c r="D4" i="1362"/>
  <c r="C4" i="1362"/>
  <c r="B4" i="1362"/>
  <c r="J3" i="1362"/>
  <c r="D3" i="5"/>
  <c r="B7" i="5"/>
  <c r="K9" i="1362"/>
  <c r="L9" i="1362"/>
  <c r="K3" i="1362"/>
  <c r="L3" i="1362"/>
  <c r="H21" i="1362"/>
  <c r="I21" i="1362"/>
  <c r="K5" i="1362"/>
  <c r="K11" i="1362"/>
  <c r="L11" i="1362"/>
  <c r="L5" i="1362"/>
  <c r="G17" i="1362"/>
  <c r="G20" i="1362"/>
  <c r="H20" i="1362"/>
  <c r="L7" i="1362"/>
  <c r="H17" i="1362"/>
  <c r="G19" i="1362"/>
  <c r="H19" i="1362"/>
  <c r="G18" i="1362"/>
  <c r="H18" i="1362"/>
  <c r="K15" i="1362"/>
  <c r="A19" i="1362"/>
  <c r="A21" i="1362"/>
  <c r="K18" i="1362"/>
  <c r="L16" i="1362"/>
  <c r="K16" i="1362"/>
  <c r="B21" i="1362"/>
  <c r="B22" i="1362"/>
  <c r="A22" i="1362"/>
  <c r="A23" i="1362"/>
  <c r="A24" i="1362"/>
  <c r="C23" i="1362"/>
  <c r="C24" i="1362"/>
  <c r="B24" i="136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3.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4.xml><?xml version="1.0" encoding="utf-8"?>
<comments xmlns="http://schemas.openxmlformats.org/spreadsheetml/2006/main">
  <authors>
    <author>Jacob Bathman</author>
  </authors>
  <commentList>
    <comment ref="B3" authorId="0">
      <text>
        <r>
          <rPr>
            <sz val="9"/>
            <color indexed="81"/>
            <rFont val="Tahoma"/>
            <family val="2"/>
          </rPr>
          <t>0.333333333333333</t>
        </r>
      </text>
    </comment>
    <comment ref="C3" authorId="0">
      <text>
        <r>
          <rPr>
            <sz val="9"/>
            <color indexed="81"/>
            <rFont val="Tahoma"/>
            <family val="2"/>
          </rPr>
          <t>0.572916666666667</t>
        </r>
      </text>
    </comment>
    <comment ref="D3" authorId="0">
      <text>
        <r>
          <rPr>
            <sz val="9"/>
            <color indexed="81"/>
            <rFont val="Tahoma"/>
            <family val="2"/>
          </rPr>
          <t>0.604166666666667</t>
        </r>
      </text>
    </comment>
    <comment ref="E3" authorId="0">
      <text>
        <r>
          <rPr>
            <sz val="9"/>
            <color indexed="81"/>
            <rFont val="Tahoma"/>
            <family val="2"/>
          </rPr>
          <t>0.75</t>
        </r>
      </text>
    </comment>
    <comment ref="F3" authorId="0">
      <text/>
    </comment>
    <comment ref="G3" authorId="0">
      <text/>
    </comment>
    <comment ref="B5" authorId="0">
      <text>
        <r>
          <rPr>
            <sz val="9"/>
            <color indexed="81"/>
            <rFont val="Tahoma"/>
            <family val="2"/>
          </rPr>
          <t>0.375</t>
        </r>
      </text>
    </comment>
    <comment ref="C5" authorId="0">
      <text>
        <r>
          <rPr>
            <sz val="9"/>
            <color indexed="81"/>
            <rFont val="Tahoma"/>
            <family val="2"/>
          </rPr>
          <t>0.5625</t>
        </r>
      </text>
    </comment>
    <comment ref="D5" authorId="0">
      <text>
        <r>
          <rPr>
            <sz val="9"/>
            <color indexed="81"/>
            <rFont val="Tahoma"/>
            <family val="2"/>
          </rPr>
          <t>0.583333333333333</t>
        </r>
      </text>
    </comment>
    <comment ref="E5" authorId="0">
      <text>
        <r>
          <rPr>
            <sz val="9"/>
            <color indexed="81"/>
            <rFont val="Tahoma"/>
            <family val="2"/>
          </rPr>
          <t>0.708333333333333</t>
        </r>
      </text>
    </comment>
    <comment ref="F5" authorId="0">
      <text/>
    </comment>
    <comment ref="G5" authorId="0">
      <text/>
    </comment>
    <comment ref="B7" authorId="0">
      <text>
        <r>
          <rPr>
            <sz val="9"/>
            <color indexed="81"/>
            <rFont val="Tahoma"/>
            <family val="2"/>
          </rPr>
          <t>0.333333333333333</t>
        </r>
      </text>
    </comment>
    <comment ref="C7" authorId="0">
      <text>
        <r>
          <rPr>
            <sz val="9"/>
            <color indexed="81"/>
            <rFont val="Tahoma"/>
            <family val="2"/>
          </rPr>
          <t>0.5</t>
        </r>
      </text>
    </comment>
    <comment ref="D7" authorId="0">
      <text>
        <r>
          <rPr>
            <sz val="9"/>
            <color indexed="81"/>
            <rFont val="Tahoma"/>
            <family val="2"/>
          </rPr>
          <t>0.541666666666667</t>
        </r>
      </text>
    </comment>
    <comment ref="E7" authorId="0">
      <text>
        <r>
          <rPr>
            <sz val="9"/>
            <color indexed="81"/>
            <rFont val="Tahoma"/>
            <family val="2"/>
          </rPr>
          <t>0.697916666666667</t>
        </r>
      </text>
    </comment>
    <comment ref="F7" authorId="0">
      <text/>
    </comment>
    <comment ref="G7" authorId="0">
      <text/>
    </comment>
    <comment ref="B9" authorId="0">
      <text>
        <r>
          <rPr>
            <sz val="9"/>
            <color indexed="81"/>
            <rFont val="Tahoma"/>
            <family val="2"/>
          </rPr>
          <t>0.354166666666667</t>
        </r>
      </text>
    </comment>
    <comment ref="C9" authorId="0">
      <text>
        <r>
          <rPr>
            <sz val="9"/>
            <color indexed="81"/>
            <rFont val="Tahoma"/>
            <family val="2"/>
          </rPr>
          <t>0.541666666666667</t>
        </r>
      </text>
    </comment>
    <comment ref="D9" authorId="0">
      <text>
        <r>
          <rPr>
            <sz val="9"/>
            <color indexed="81"/>
            <rFont val="Tahoma"/>
            <family val="2"/>
          </rPr>
          <t>0.5625</t>
        </r>
      </text>
    </comment>
    <comment ref="E9" authorId="0">
      <text>
        <r>
          <rPr>
            <sz val="9"/>
            <color indexed="81"/>
            <rFont val="Tahoma"/>
            <family val="2"/>
          </rPr>
          <t>0.71875</t>
        </r>
      </text>
    </comment>
    <comment ref="F9" authorId="0">
      <text/>
    </comment>
    <comment ref="G9" authorId="0">
      <text/>
    </comment>
    <comment ref="B11" authorId="0">
      <text>
        <r>
          <rPr>
            <sz val="9"/>
            <color indexed="81"/>
            <rFont val="Tahoma"/>
            <family val="2"/>
          </rPr>
          <t>0.354166666666667</t>
        </r>
      </text>
    </comment>
    <comment ref="C11" authorId="0">
      <text>
        <r>
          <rPr>
            <sz val="9"/>
            <color indexed="81"/>
            <rFont val="Tahoma"/>
            <family val="2"/>
          </rPr>
          <t>0.552083333333333</t>
        </r>
      </text>
    </comment>
    <comment ref="D11" authorId="0">
      <text>
        <r>
          <rPr>
            <sz val="9"/>
            <color indexed="81"/>
            <rFont val="Tahoma"/>
            <family val="2"/>
          </rPr>
          <t>0.572916666666667</t>
        </r>
      </text>
    </comment>
    <comment ref="E11" authorId="0">
      <text>
        <r>
          <rPr>
            <sz val="9"/>
            <color indexed="81"/>
            <rFont val="Tahoma"/>
            <family val="2"/>
          </rPr>
          <t>0.677083333333333</t>
        </r>
      </text>
    </comment>
    <comment ref="F11" authorId="0">
      <text/>
    </comment>
    <comment ref="G11" authorId="0">
      <text/>
    </comment>
    <comment ref="B13" authorId="0">
      <text/>
    </comment>
    <comment ref="C13" authorId="0">
      <text/>
    </comment>
    <comment ref="D13" authorId="0">
      <text/>
    </comment>
    <comment ref="E13" authorId="0">
      <text/>
    </comment>
    <comment ref="F13" authorId="0">
      <text/>
    </comment>
    <comment ref="G13" authorId="0">
      <text/>
    </comment>
    <comment ref="B15" authorId="0">
      <text/>
    </comment>
    <comment ref="C15" authorId="0">
      <text/>
    </comment>
    <comment ref="D15" authorId="0">
      <text/>
    </comment>
    <comment ref="E15" authorId="0">
      <text/>
    </comment>
    <comment ref="F15" authorId="0">
      <text/>
    </comment>
    <comment ref="G15" authorId="0">
      <text/>
    </comment>
  </commentList>
</comments>
</file>

<file path=xl/comments5.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<sst xmlns="http://schemas.openxmlformats.org/spreadsheetml/2006/main" count="235" uniqueCount="107">
  <si>
    <t>Out</t>
  </si>
  <si>
    <t>(calc)</t>
  </si>
  <si>
    <t>Time off (decimal hours)</t>
  </si>
  <si>
    <t>Notes:</t>
  </si>
  <si>
    <t>In</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</si>
  <si>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t>
  </si>
  <si>
    <t>There are hidden rows and formulas in lots of places, and most of them are locked. If you can't edit a certain cell, you probably don't need to.</t>
  </si>
  <si>
    <t>How many hours do you work per week? (e.g. 40 for full-time, less for part-time):</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</si>
  <si>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</si>
  <si>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</si>
  <si>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</si>
  <si>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</si>
  <si>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</si>
  <si>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</si>
  <si>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</si>
  <si>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</si>
  <si>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</si>
  <si>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</si>
  <si>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</si>
  <si>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</si>
  <si>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</si>
  <si>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</si>
  <si>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</si>
  <si>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</si>
  <si>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</si>
  <si>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</si>
  <si>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</si>
  <si>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</si>
  <si>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</si>
  <si>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</si>
  <si>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</si>
  <si>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</si>
  <si>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</si>
  <si>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</si>
  <si>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</si>
  <si>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</si>
  <si>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</si>
  <si>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</si>
  <si>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</si>
  <si>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</si>
  <si>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</si>
  <si>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</si>
  <si>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</si>
  <si>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</si>
  <si>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</si>
  <si>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</si>
  <si>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</si>
  <si>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</si>
  <si>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</si>
  <si>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</si>
  <si>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</si>
  <si>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</si>
  <si>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</si>
  <si>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</si>
  <si>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</si>
  <si>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</si>
  <si>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</si>
  <si>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</si>
  <si>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</si>
  <si>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</si>
  <si>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</si>
  <si>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</si>
  <si>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</si>
  <si>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Note: Red shaded cells denote times imported from PeopleSoft</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</si>
  <si>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</si>
  <si>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</si>
  <si>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</si>
  <si>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</si>
  <si>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</si>
  <si>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MRC Training Event</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</si>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</sst>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2"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9"/>
      <color indexed="81"/>
      <name val="Tahoma"/>
      <family val="2"/>
    </font>
    <font>
      <sz val="10"/>
      <color rgb="FF000000"/>
      <name val="Arial"/>
      <family val="2"/>
    </font>
    <font>
      <b/>
      <sz val="10"/>
      <color rgb="FF000000"/>
      <name val="Arial"/>
      <family val="2"/>
    </font>
    <font>
      <i/>
      <sz val="10"/>
      <color indexed="8"/>
      <name val="Arial"/>
      <family val="2"/>
    </font>
    <font>
      <u/>
      <sz val="10"/>
      <color theme="10"/>
      <name val="Arial"/>
      <family val="2"/>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theme="9" tint="0.79995117038483843"/>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43" fontId="5" fillId="0" borderId="0" applyFont="0" applyFill="0" applyBorder="0" applyAlignment="0" applyProtection="0">
      <alignment vertical="center"/>
    </xf>
    <xf numFmtId="0" fontId="11" fillId="0" borderId="0" applyNumberFormat="0" applyFill="0" applyBorder="0" applyAlignment="0" applyProtection="0">
      <alignment vertical="center"/>
    </xf>
  </cellStyleXfs>
  <cellXfs count="115">
    <xf numFmtId="0" fontId="0" fillId="0" borderId="0" xfId="0">
      <alignment vertical="center"/>
    </xf>
    <xf numFmtId="0" fontId="1" fillId="0" borderId="0" xfId="0" applyNumberFormat="1" applyFont="1" applyFill="1" applyAlignment="1">
      <alignment horizontal="right" wrapText="1"/>
    </xf>
    <xf numFmtId="0" fontId="2" fillId="0" borderId="0" xfId="0" applyNumberFormat="1" applyFont="1" applyFill="1" applyAlignment="1">
      <alignmen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0"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1" fillId="3" borderId="0" xfId="0" applyNumberFormat="1" applyFont="1" applyFill="1" applyAlignment="1">
      <alignment horizontal="center"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0" fontId="1" fillId="0" borderId="0" xfId="0" applyNumberFormat="1" applyFont="1" applyFill="1" applyAlignment="1">
      <alignment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21" fontId="3" fillId="0" borderId="0" xfId="0" applyNumberFormat="1" applyFont="1" applyFill="1" applyAlignment="1" applyProtection="1">
      <alignment wrapText="1"/>
      <protection hidden="1"/>
    </xf>
    <xf numFmtId="2" fontId="1" fillId="2" borderId="0" xfId="1" applyNumberFormat="1" applyFont="1" applyFill="1" applyAlignment="1" applyProtection="1">
      <alignment horizontal="center" vertical="center" wrapText="1"/>
      <protection hidden="1"/>
    </xf>
    <xf numFmtId="0" fontId="0" fillId="0" borderId="0" xfId="0" applyProtection="1">
      <alignment vertical="center"/>
      <protection hidden="1"/>
    </xf>
    <xf numFmtId="164" fontId="0" fillId="0" borderId="0" xfId="0" applyNumberFormat="1" applyFont="1" applyFill="1" applyAlignment="1" applyProtection="1">
      <alignment wrapText="1"/>
      <protection hidden="1"/>
    </xf>
    <xf numFmtId="0" fontId="1" fillId="0" borderId="0" xfId="0" applyNumberFormat="1" applyFont="1" applyFill="1" applyAlignment="1" applyProtection="1">
      <alignment horizontal="center" vertical="center" wrapText="1"/>
      <protection locked="0"/>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lignment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Font="1" applyFill="1" applyAlignment="1" applyProtection="1">
      <alignment horizont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3"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165" fontId="0" fillId="4" borderId="1" xfId="0" applyNumberFormat="1" applyFont="1" applyFill="1" applyBorder="1" applyAlignment="1" applyProtection="1">
      <alignment horizontal="center" vertical="center" wrapText="1"/>
      <protection locked="0"/>
    </xf>
    <xf numFmtId="165" fontId="0" fillId="4" borderId="2" xfId="0" applyNumberFormat="1" applyFont="1" applyFill="1" applyBorder="1" applyAlignment="1" applyProtection="1">
      <alignment horizontal="center" vertical="center" wrapText="1"/>
      <protection locked="0"/>
    </xf>
    <xf numFmtId="165" fontId="0" fillId="4" borderId="4" xfId="0" applyNumberFormat="1" applyFont="1" applyFill="1" applyBorder="1" applyAlignment="1" applyProtection="1">
      <alignment horizontal="center" vertical="center" wrapText="1"/>
      <protection locked="0"/>
    </xf>
    <xf numFmtId="165" fontId="0" fillId="4" borderId="0" xfId="0" applyNumberFormat="1" applyFont="1" applyFill="1" applyBorder="1" applyAlignment="1" applyProtection="1">
      <alignment horizontal="center" vertical="center" wrapText="1"/>
      <protection locked="0"/>
    </xf>
    <xf numFmtId="165" fontId="0" fillId="4" borderId="0"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0" fillId="4" borderId="0" xfId="0" applyFill="1">
      <alignment vertical="center"/>
    </xf>
    <xf numFmtId="165" fontId="0" fillId="4" borderId="2" xfId="0" applyNumberFormat="1" applyFill="1" applyBorder="1" applyAlignment="1" applyProtection="1">
      <alignment horizontal="center" vertical="center"/>
      <protection locked="0"/>
    </xf>
    <xf numFmtId="0" fontId="1" fillId="5" borderId="0" xfId="0" applyNumberFormat="1" applyFont="1" applyFill="1" applyAlignment="1" applyProtection="1">
      <alignment horizontal="center" vertical="center" wrapText="1"/>
      <protection locked="0"/>
    </xf>
    <xf numFmtId="0" fontId="1" fillId="5"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10"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5" borderId="0" xfId="0" applyFont="1" applyFill="1" applyAlignment="1">
      <alignment horizontal="center" vertical="center"/>
    </xf>
    <xf numFmtId="0" fontId="1" fillId="6" borderId="0" xfId="0" applyFont="1" applyFill="1" applyAlignment="1">
      <alignment horizontal="center" vertical="center"/>
    </xf>
    <xf numFmtId="0" fontId="11" fillId="0" borderId="0" xfId="2">
      <alignment vertical="center"/>
    </xf>
  </cellXfs>
  <cellStyles count="3">
    <cellStyle name="Comma" xfId="1" builtinId="3"/>
    <cellStyle name="Hyperlink" xfId="2" builtinId="8"/>
    <cellStyle name="Normal" xfId="0" builtinId="0"/>
  </cellStyles>
  <dxfs count="43">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89891" name="Button 3" hidden="1">
              <a:extLst>
                <a:ext uri="{63B3BB69-23CF-44E3-9099-C40C66FF867C}">
                  <a14:compatExt spid="_x0000_s11898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13793" name="Button 1" hidden="1">
              <a:extLst>
                <a:ext uri="{63B3BB69-23CF-44E3-9099-C40C66FF867C}">
                  <a14:compatExt spid="_x0000_s13137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13794" name="Button 2" hidden="1">
              <a:extLst>
                <a:ext uri="{63B3BB69-23CF-44E3-9099-C40C66FF867C}">
                  <a14:compatExt spid="_x0000_s13137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13795" name="Button 3" hidden="1">
              <a:extLst>
                <a:ext uri="{63B3BB69-23CF-44E3-9099-C40C66FF867C}">
                  <a14:compatExt spid="_x0000_s13137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13796" name="Button 4" hidden="1">
              <a:extLst>
                <a:ext uri="{63B3BB69-23CF-44E3-9099-C40C66FF867C}">
                  <a14:compatExt spid="_x0000_s13137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13797" name="Button 5" hidden="1">
              <a:extLst>
                <a:ext uri="{63B3BB69-23CF-44E3-9099-C40C66FF867C}">
                  <a14:compatExt spid="_x0000_s13137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18913" name="Button 1" hidden="1">
              <a:extLst>
                <a:ext uri="{63B3BB69-23CF-44E3-9099-C40C66FF867C}">
                  <a14:compatExt spid="_x0000_s13189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18914" name="Button 2" hidden="1">
              <a:extLst>
                <a:ext uri="{63B3BB69-23CF-44E3-9099-C40C66FF867C}">
                  <a14:compatExt spid="_x0000_s13189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18915" name="Button 3" hidden="1">
              <a:extLst>
                <a:ext uri="{63B3BB69-23CF-44E3-9099-C40C66FF867C}">
                  <a14:compatExt spid="_x0000_s13189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18916" name="Button 4" hidden="1">
              <a:extLst>
                <a:ext uri="{63B3BB69-23CF-44E3-9099-C40C66FF867C}">
                  <a14:compatExt spid="_x0000_s13189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18917" name="Button 5" hidden="1">
              <a:extLst>
                <a:ext uri="{63B3BB69-23CF-44E3-9099-C40C66FF867C}">
                  <a14:compatExt spid="_x0000_s13189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5.vml"/><Relationship Id="rId7" Type="http://schemas.openxmlformats.org/officeDocument/2006/relationships/ctrlProp" Target="../ctrlProps/ctrlProp19.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200"/>
  <sheetViews>
    <sheetView tabSelected="1"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9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c r="C5" s="47"/>
      <c r="D5" s="47"/>
      <c r="E5" s="47"/>
      <c r="F5" s="82"/>
      <c r="G5" s="47"/>
      <c r="H5" s="40"/>
      <c r="I5" s="42"/>
      <c r="J5" s="48" t="str">
        <f t="shared" si="0"/>
        <v/>
      </c>
      <c r="K5" s="97"/>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c r="I7" s="42"/>
      <c r="J7" s="48" t="str">
        <f t="shared" si="0"/>
        <v/>
      </c>
      <c r="K7" s="97"/>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c r="I9" s="42"/>
      <c r="J9" s="48" t="str">
        <f t="shared" si="0"/>
        <v/>
      </c>
      <c r="K9" s="97"/>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c r="I11" s="42"/>
      <c r="J11" s="48" t="str">
        <f t="shared" si="0"/>
        <v/>
      </c>
      <c r="K11" s="97"/>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6" t="str">
        <f>IF(K15&gt;=B1,"",IF(AND(COUNTIF(K3:K11,"&gt;=4")=4,COUNTIF(B9:B12,"&gt;0")&gt;2),CONCATENATE("Trying to hit ",B1," hours exactly? Estimate your final punch below"),""))</f>
        <v/>
      </c>
      <c r="B19" s="107"/>
      <c r="C19" s="107"/>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8" t="str">
        <f>IF((A23=""),"",IF(AND((ISBLANK(D11)=FALSE),(ISBLANK(C11)=FALSE)),"You've already entered in lunch punches for today. I'll use those numbers.","&lt;--- Enter today's lunch time as a decimal (e.g. 45 minutes would be .75). Entering nothing will default to 1 hour. You can enter 0 for no lunch."))</f>
        <v/>
      </c>
      <c r="D23" s="109"/>
      <c r="E23" s="109"/>
      <c r="F23" s="109"/>
      <c r="G23" s="109"/>
      <c r="H23" s="109"/>
      <c r="I23" s="109"/>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8" t="str">
        <f>IF((A24=""),"",IF((COUNTA(B11:D11)=2),"Looks like you've got only one lunch punch. Enter another to calculate",""))</f>
        <v/>
      </c>
      <c r="D24" s="109"/>
      <c r="E24" s="109"/>
      <c r="F24" s="109"/>
      <c r="K24" s="4"/>
      <c r="L24" s="5"/>
    </row>
    <row r="25" spans="1:12" ht="12.75" customHeight="1" x14ac:dyDescent="0.2">
      <c r="K25" s="4"/>
      <c r="L25" s="5"/>
    </row>
    <row r="26" spans="1:12" ht="12.75" customHeight="1" x14ac:dyDescent="0.2">
      <c r="K26" s="4"/>
      <c r="L26" s="5"/>
    </row>
    <row r="27" spans="1:12" ht="29.25" customHeight="1" x14ac:dyDescent="0.2">
      <c r="A27" s="14" t="s">
        <v>3</v>
      </c>
      <c r="B27" s="105" t="s">
        <v>6</v>
      </c>
      <c r="C27" s="105"/>
      <c r="D27" s="105"/>
      <c r="E27" s="105"/>
      <c r="F27" s="105"/>
      <c r="G27" s="110"/>
      <c r="H27" s="110"/>
      <c r="K27" s="4"/>
      <c r="L27" s="5"/>
    </row>
    <row r="28" spans="1:12" ht="28.5" customHeight="1" x14ac:dyDescent="0.2">
      <c r="B28" s="111" t="s">
        <v>19</v>
      </c>
      <c r="C28" s="111"/>
      <c r="D28" s="111"/>
      <c r="E28" s="111"/>
      <c r="F28" s="111"/>
      <c r="G28" s="111"/>
      <c r="H28" s="111"/>
      <c r="K28" s="4"/>
      <c r="L28" s="5"/>
    </row>
    <row r="29" spans="1:12" ht="41.25" customHeight="1" x14ac:dyDescent="0.2">
      <c r="B29" s="105" t="s">
        <v>75</v>
      </c>
      <c r="C29" s="105"/>
      <c r="D29" s="105"/>
      <c r="E29" s="105"/>
      <c r="F29" s="105"/>
      <c r="G29" s="105"/>
      <c r="H29" s="105"/>
      <c r="K29" s="4"/>
      <c r="L29" s="5"/>
    </row>
    <row r="30" spans="1:12" ht="29.25" customHeight="1" x14ac:dyDescent="0.2">
      <c r="B30" s="105" t="s">
        <v>17</v>
      </c>
      <c r="C30" s="105"/>
      <c r="D30" s="105"/>
      <c r="E30" s="105"/>
      <c r="F30" s="105"/>
      <c r="G30" s="105"/>
      <c r="H30" s="105"/>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42" priority="9" stopIfTrue="1" operator="notEqual">
      <formula>""</formula>
    </cfRule>
  </conditionalFormatting>
  <conditionalFormatting sqref="A24:B24">
    <cfRule type="cellIs" dxfId="41" priority="8" stopIfTrue="1" operator="notEqual">
      <formula>""</formula>
    </cfRule>
  </conditionalFormatting>
  <conditionalFormatting sqref="H3:I12">
    <cfRule type="containsBlanks" dxfId="40" priority="10" stopIfTrue="1">
      <formula>LEN(TRIM(H3))=0</formula>
    </cfRule>
  </conditionalFormatting>
  <conditionalFormatting sqref="B3:C3 E3:G3 B4:G4 B6:G12 B5 D5:G5">
    <cfRule type="containsBlanks" dxfId="39" priority="7" stopIfTrue="1">
      <formula>LEN(TRIM(B3))=0</formula>
    </cfRule>
  </conditionalFormatting>
  <conditionalFormatting sqref="D3">
    <cfRule type="containsBlanks" dxfId="38" priority="6" stopIfTrue="1">
      <formula>LEN(TRIM(D3))=0</formula>
    </cfRule>
  </conditionalFormatting>
  <conditionalFormatting sqref="H14:I14">
    <cfRule type="containsBlanks" dxfId="37" priority="5" stopIfTrue="1">
      <formula>LEN(TRIM(H14))=0</formula>
    </cfRule>
  </conditionalFormatting>
  <conditionalFormatting sqref="B14:G14">
    <cfRule type="containsBlanks" dxfId="36" priority="4" stopIfTrue="1">
      <formula>LEN(TRIM(B14))=0</formula>
    </cfRule>
  </conditionalFormatting>
  <conditionalFormatting sqref="H13:I13">
    <cfRule type="containsBlanks" dxfId="35" priority="3" stopIfTrue="1">
      <formula>LEN(TRIM(H13))=0</formula>
    </cfRule>
  </conditionalFormatting>
  <conditionalFormatting sqref="B13:G13">
    <cfRule type="containsBlanks" dxfId="34" priority="2" stopIfTrue="1">
      <formula>LEN(TRIM(B13))=0</formula>
    </cfRule>
  </conditionalFormatting>
  <conditionalFormatting sqref="C5">
    <cfRule type="containsBlanks" dxfId="33"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889"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89890"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89891"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89892"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89893"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35">
        <v>10.75</v>
      </c>
      <c r="L3" s="3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v>4.75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v>10</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v>7.25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v>7.25</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x14ac:dyDescent="0.2">
      <c r="A13" s="10" t="s">
        <v>9</v>
      </c>
      <c r="B13" s="46"/>
      <c r="C13" s="47"/>
      <c r="D13" s="47"/>
      <c r="E13" s="47"/>
      <c r="F13" s="47"/>
      <c r="G13" s="47"/>
      <c r="H13" s="66"/>
      <c r="I13" s="42"/>
      <c r="J13" s="48" t="str">
        <f t="shared" si="0"/>
        <v/>
      </c>
      <c r="K13" s="49">
        <v>7.25</v>
      </c>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56"/>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47.25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Gained 10.875 hrs. of comp time</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6" t="str">
        <f>IF(K15&gt;=B1,"",IF(AND(COUNTIF(K3:K11,"&gt;=4")=4,COUNTIF(B9:B12,"&gt;0")&gt;2),CONCATENATE("Trying to hit ",B1," hours exactly? Estimate your final punch below"),""))</f>
        <v/>
      </c>
      <c r="B19" s="107"/>
      <c r="C19" s="107"/>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8" t="str">
        <f>IF((A23=""),"",IF(AND((ISBLANK(D11)=FALSE),(ISBLANK(C11)=FALSE)),"You've already entered in lunch punches for today. I'll use those numbers.","&lt;--- Enter today's lunch time as a decimal (e.g. 45 minutes would be .75). Entering nothing will default to 1 hour. You can enter 0 for no lunch."))</f>
        <v/>
      </c>
      <c r="D23" s="109"/>
      <c r="E23" s="109"/>
      <c r="F23" s="109"/>
      <c r="G23" s="109"/>
      <c r="H23" s="109"/>
      <c r="I23" s="109"/>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8" t="str">
        <f>IF((A24=""),"",IF((COUNTA(B11:D11)=2),"Looks like you've got only one lunch punch. Enter another to calculate",""))</f>
        <v/>
      </c>
      <c r="D24" s="109"/>
      <c r="E24" s="109"/>
      <c r="F24" s="109"/>
      <c r="K24" s="4"/>
      <c r="L24" s="5"/>
    </row>
    <row r="25" spans="1:12" ht="12.75" customHeight="1" x14ac:dyDescent="0.2">
      <c r="K25" s="4"/>
      <c r="L25" s="5"/>
    </row>
    <row r="26" spans="1:12" ht="12.75" customHeight="1" x14ac:dyDescent="0.2">
      <c r="K26" s="4"/>
      <c r="L26" s="5"/>
    </row>
    <row r="27" spans="1:12" ht="29.25" customHeight="1" x14ac:dyDescent="0.2">
      <c r="A27" s="14" t="s">
        <v>3</v>
      </c>
      <c r="B27" s="105" t="s">
        <v>6</v>
      </c>
      <c r="C27" s="105"/>
      <c r="D27" s="105"/>
      <c r="E27" s="105"/>
      <c r="F27" s="105"/>
      <c r="G27" s="110"/>
      <c r="H27" s="110"/>
      <c r="K27" s="4"/>
      <c r="L27" s="5"/>
    </row>
    <row r="28" spans="1:12" ht="28.5" customHeight="1" x14ac:dyDescent="0.2">
      <c r="B28" s="111" t="s">
        <v>19</v>
      </c>
      <c r="C28" s="111"/>
      <c r="D28" s="111"/>
      <c r="E28" s="111"/>
      <c r="F28" s="111"/>
      <c r="G28" s="111"/>
      <c r="H28" s="111"/>
      <c r="K28" s="4"/>
      <c r="L28" s="5"/>
    </row>
    <row r="29" spans="1:12" ht="41.25" customHeight="1" x14ac:dyDescent="0.2">
      <c r="B29" s="105" t="s">
        <v>75</v>
      </c>
      <c r="C29" s="105"/>
      <c r="D29" s="105"/>
      <c r="E29" s="105"/>
      <c r="F29" s="105"/>
      <c r="G29" s="105"/>
      <c r="H29" s="105"/>
      <c r="K29" s="4"/>
      <c r="L29" s="5"/>
    </row>
    <row r="30" spans="1:12" ht="29.25" customHeight="1" x14ac:dyDescent="0.2">
      <c r="B30" s="105" t="s">
        <v>17</v>
      </c>
      <c r="C30" s="105"/>
      <c r="D30" s="105"/>
      <c r="E30" s="105"/>
      <c r="F30" s="105"/>
      <c r="G30" s="105"/>
      <c r="H30" s="105"/>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32" priority="8" stopIfTrue="1" operator="notEqual">
      <formula>""</formula>
    </cfRule>
  </conditionalFormatting>
  <conditionalFormatting sqref="A24:B24">
    <cfRule type="cellIs" dxfId="31" priority="7" stopIfTrue="1" operator="notEqual">
      <formula>""</formula>
    </cfRule>
  </conditionalFormatting>
  <conditionalFormatting sqref="H3:I12">
    <cfRule type="containsBlanks" dxfId="30" priority="9" stopIfTrue="1">
      <formula>LEN(TRIM(H3))=0</formula>
    </cfRule>
  </conditionalFormatting>
  <conditionalFormatting sqref="B3:C3 E3:G3 B4:G12">
    <cfRule type="containsBlanks" dxfId="29" priority="6" stopIfTrue="1">
      <formula>LEN(TRIM(B3))=0</formula>
    </cfRule>
  </conditionalFormatting>
  <conditionalFormatting sqref="D3">
    <cfRule type="containsBlanks" dxfId="28" priority="5" stopIfTrue="1">
      <formula>LEN(TRIM(D3))=0</formula>
    </cfRule>
  </conditionalFormatting>
  <conditionalFormatting sqref="H14:I14">
    <cfRule type="containsBlanks" dxfId="27" priority="4" stopIfTrue="1">
      <formula>LEN(TRIM(H14))=0</formula>
    </cfRule>
  </conditionalFormatting>
  <conditionalFormatting sqref="B14:G14">
    <cfRule type="containsBlanks" dxfId="26" priority="3" stopIfTrue="1">
      <formula>LEN(TRIM(B14))=0</formula>
    </cfRule>
  </conditionalFormatting>
  <conditionalFormatting sqref="H13:I13">
    <cfRule type="containsBlanks" dxfId="25" priority="2" stopIfTrue="1">
      <formula>LEN(TRIM(H13))=0</formula>
    </cfRule>
  </conditionalFormatting>
  <conditionalFormatting sqref="B13:G13">
    <cfRule type="containsBlanks" dxfId="24"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H13" sqref="H1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99"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v>8</v>
      </c>
      <c r="I3" s="33"/>
      <c r="J3" s="34" t="str">
        <f>IF(OR(I3="comp",I3="cat",I3="pto",I3=""),"",I3)</f>
        <v/>
      </c>
      <c r="K3" s="95">
        <v>8</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c r="C5" s="47"/>
      <c r="D5" s="47"/>
      <c r="E5" s="47"/>
      <c r="F5" s="82"/>
      <c r="G5" s="47"/>
      <c r="H5" s="40">
        <v>12</v>
      </c>
      <c r="I5" s="42"/>
      <c r="J5" s="48" t="str">
        <f t="shared" si="0"/>
        <v/>
      </c>
      <c r="K5" s="97">
        <v>12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v>8</v>
      </c>
      <c r="I7" s="42"/>
      <c r="J7" s="48" t="str">
        <f t="shared" si="0"/>
        <v/>
      </c>
      <c r="K7" s="97">
        <v>8</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v>8</v>
      </c>
      <c r="I9" s="42"/>
      <c r="J9" s="48" t="str">
        <f t="shared" si="0"/>
        <v/>
      </c>
      <c r="K9" s="97">
        <v>8</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v>4</v>
      </c>
      <c r="I11" s="42"/>
      <c r="J11" s="48" t="str">
        <f t="shared" si="0"/>
        <v/>
      </c>
      <c r="K11" s="97">
        <v>4</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Total time off used</v>
      </c>
      <c r="H17" s="11" t="str">
        <f>IF((G17=""),"",CONCATENATE(SUM(H3:H11)," hours"))</f>
        <v>40 hours</v>
      </c>
      <c r="I17" s="7"/>
      <c r="J17" s="7"/>
      <c r="K17" s="4" t="str">
        <f>IF(SUM(H3:H13)&gt;=(B1*0.8),"Vacation week, huh?","")</f>
        <v>Vacation week, huh?</v>
      </c>
      <c r="L17" s="5"/>
    </row>
    <row r="18" spans="1:12" x14ac:dyDescent="0.2">
      <c r="B18" s="74"/>
      <c r="C18" s="8"/>
      <c r="D18" s="8"/>
      <c r="E18" s="8"/>
      <c r="G18" s="22" t="str">
        <f>IF(G17="","","Comp")</f>
        <v>Comp</v>
      </c>
      <c r="H18" s="23" t="str">
        <f>IF(G18="","",IF(SUMIF(I3:I14,"comp",H3:H14)=0,"none",SUMIF(I3:I14,"comp",H3:H14)))</f>
        <v>none</v>
      </c>
      <c r="K18" s="4" t="str">
        <f>IF(OR(K15=0,K15&gt;=B1),"",IF(ISBLANK(B11)=FALSE,"",CONCATENATE("On track for ~", ((COUNTBLANK(K3:K11)-4)*MROUND(AVERAGE(K3:K11),0.25))+K15," hrs. total")))</f>
        <v/>
      </c>
      <c r="L18" s="29"/>
    </row>
    <row r="19" spans="1:12" ht="12.75" customHeight="1" x14ac:dyDescent="0.2">
      <c r="A19" s="106" t="str">
        <f>IF(K15&gt;=B1,"",IF(AND(COUNTIF(K3:K11,"&gt;=4")=4,COUNTIF(B9:B12,"&gt;0")&gt;2),CONCATENATE("Trying to hit ",B1," hours exactly? Estimate your final punch below"),""))</f>
        <v/>
      </c>
      <c r="B19" s="107"/>
      <c r="C19" s="107"/>
      <c r="D19" s="100"/>
      <c r="G19" s="22" t="str">
        <f>IF(G17="","","PTO")</f>
        <v>PTO</v>
      </c>
      <c r="H19" s="23" t="str">
        <f>IF(G19="","",IF(SUMIF(I3:I14,"pto",H3:H14)=0,"none",SUMIF(I3:I14,"pto",H3:H14)))</f>
        <v>none</v>
      </c>
      <c r="K19" s="4"/>
      <c r="L19" s="5"/>
    </row>
    <row r="20" spans="1:12" ht="12.75" customHeight="1" x14ac:dyDescent="0.2">
      <c r="G20" s="22" t="str">
        <f>IF(G17="","","Catastrophic")</f>
        <v>Catastrophic</v>
      </c>
      <c r="H20" s="23" t="str">
        <f>IF(G20="","",IF(SUMIF(I3:I14,"cat",H3:H14)=0,"none",SUMIF(I3:I14,"cat",H3:H14)))</f>
        <v>none</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8" t="str">
        <f>IF((A23=""),"",IF(AND((ISBLANK(D11)=FALSE),(ISBLANK(C11)=FALSE)),"You've already entered in lunch punches for today. I'll use those numbers.","&lt;--- Enter today's lunch time as a decimal (e.g. 45 minutes would be .75). Entering nothing will default to 1 hour. You can enter 0 for no lunch."))</f>
        <v/>
      </c>
      <c r="D23" s="109"/>
      <c r="E23" s="109"/>
      <c r="F23" s="109"/>
      <c r="G23" s="109"/>
      <c r="H23" s="109"/>
      <c r="I23" s="109"/>
      <c r="J23" s="101"/>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8" t="str">
        <f>IF((A24=""),"",IF((COUNTA(B11:D11)=2),"Looks like you've got only one lunch punch. Enter another to calculate",""))</f>
        <v/>
      </c>
      <c r="D24" s="109"/>
      <c r="E24" s="109"/>
      <c r="F24" s="109"/>
      <c r="K24" s="4"/>
      <c r="L24" s="5"/>
    </row>
    <row r="25" spans="1:12" ht="12.75" customHeight="1" x14ac:dyDescent="0.2">
      <c r="K25" s="4"/>
      <c r="L25" s="5"/>
    </row>
    <row r="26" spans="1:12" ht="12.75" customHeight="1" x14ac:dyDescent="0.2">
      <c r="K26" s="4"/>
      <c r="L26" s="5"/>
    </row>
    <row r="27" spans="1:12" ht="29.25" customHeight="1" x14ac:dyDescent="0.2">
      <c r="A27" s="14" t="s">
        <v>3</v>
      </c>
      <c r="B27" s="105" t="s">
        <v>6</v>
      </c>
      <c r="C27" s="105"/>
      <c r="D27" s="105"/>
      <c r="E27" s="105"/>
      <c r="F27" s="105"/>
      <c r="G27" s="110"/>
      <c r="H27" s="110"/>
      <c r="K27" s="4"/>
      <c r="L27" s="5"/>
    </row>
    <row r="28" spans="1:12" ht="28.5" customHeight="1" x14ac:dyDescent="0.2">
      <c r="B28" s="111" t="s">
        <v>19</v>
      </c>
      <c r="C28" s="111"/>
      <c r="D28" s="111"/>
      <c r="E28" s="111"/>
      <c r="F28" s="111"/>
      <c r="G28" s="111"/>
      <c r="H28" s="111"/>
      <c r="K28" s="4"/>
      <c r="L28" s="5"/>
    </row>
    <row r="29" spans="1:12" ht="41.25" customHeight="1" x14ac:dyDescent="0.2">
      <c r="B29" s="105" t="s">
        <v>75</v>
      </c>
      <c r="C29" s="105"/>
      <c r="D29" s="105"/>
      <c r="E29" s="105"/>
      <c r="F29" s="105"/>
      <c r="G29" s="105"/>
      <c r="H29" s="105"/>
      <c r="K29" s="4"/>
      <c r="L29" s="5"/>
    </row>
    <row r="30" spans="1:12" ht="29.25" customHeight="1" x14ac:dyDescent="0.2">
      <c r="B30" s="105" t="s">
        <v>17</v>
      </c>
      <c r="C30" s="105"/>
      <c r="D30" s="105"/>
      <c r="E30" s="105"/>
      <c r="F30" s="105"/>
      <c r="G30" s="105"/>
      <c r="H30" s="105"/>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23" priority="9" stopIfTrue="1" operator="notEqual">
      <formula>""</formula>
    </cfRule>
  </conditionalFormatting>
  <conditionalFormatting sqref="A24:B24">
    <cfRule type="cellIs" dxfId="22" priority="8" stopIfTrue="1" operator="notEqual">
      <formula>""</formula>
    </cfRule>
  </conditionalFormatting>
  <conditionalFormatting sqref="H3:I12">
    <cfRule type="containsBlanks" dxfId="21" priority="10" stopIfTrue="1">
      <formula>LEN(TRIM(H3))=0</formula>
    </cfRule>
  </conditionalFormatting>
  <conditionalFormatting sqref="B3:C3 E3:G3 B4:G4 B6:G12 B5 D5:G5">
    <cfRule type="containsBlanks" dxfId="20" priority="7" stopIfTrue="1">
      <formula>LEN(TRIM(B3))=0</formula>
    </cfRule>
  </conditionalFormatting>
  <conditionalFormatting sqref="D3">
    <cfRule type="containsBlanks" dxfId="19" priority="6" stopIfTrue="1">
      <formula>LEN(TRIM(D3))=0</formula>
    </cfRule>
  </conditionalFormatting>
  <conditionalFormatting sqref="H14:I14">
    <cfRule type="containsBlanks" dxfId="18" priority="5" stopIfTrue="1">
      <formula>LEN(TRIM(H14))=0</formula>
    </cfRule>
  </conditionalFormatting>
  <conditionalFormatting sqref="B14:G14">
    <cfRule type="containsBlanks" dxfId="17" priority="4" stopIfTrue="1">
      <formula>LEN(TRIM(B14))=0</formula>
    </cfRule>
  </conditionalFormatting>
  <conditionalFormatting sqref="H13:I13">
    <cfRule type="containsBlanks" dxfId="16" priority="3" stopIfTrue="1">
      <formula>LEN(TRIM(H13))=0</formula>
    </cfRule>
  </conditionalFormatting>
  <conditionalFormatting sqref="B13:G13">
    <cfRule type="containsBlanks" dxfId="15" priority="2" stopIfTrue="1">
      <formula>LEN(TRIM(B13))=0</formula>
    </cfRule>
  </conditionalFormatting>
  <conditionalFormatting sqref="C5">
    <cfRule type="containsBlanks" dxfId="14"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13793"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13794"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13795"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13796"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13797"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M200"/>
  <sheetViews>
    <sheetView zoomScaleNormal="100" workbookViewId="0">
      <selection activeCell="D21" sqref="D21"/>
    </sheetView>
  </sheetViews>
  <sheetFormatPr defaultColWidth="17.140625" defaultRowHeight="12.75" customHeight="1" x14ac:dyDescent="0.2"/>
  <cols>
    <col min="1" max="1" width="29.4257812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1" t="s">
        <v>7</v>
      </c>
      <c r="B1" s="19">
        <v>40</v>
      </c>
    </row>
    <row r="2" spans="1:13" ht="51.75" thickBot="1" x14ac:dyDescent="0.25">
      <c r="A2" s="2"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76">
        <v>0.33333333333333331</v>
      </c>
      <c r="C3" s="85">
        <v>0.57291666666666663</v>
      </c>
      <c r="D3" s="85">
        <v>0.60416666666666663</v>
      </c>
      <c r="E3" s="77">
        <v>0.75</v>
      </c>
      <c r="F3" s="75"/>
      <c r="G3" s="75"/>
      <c r="H3" s="32"/>
      <c r="I3" s="33"/>
      <c r="J3" s="34" t="str">
        <f>IF(OR(I3="comp",I3="cat",I3="pto",I3=""),"",I3)</f>
        <v/>
      </c>
      <c r="K3" s="35">
        <f>IF((OR((((((E4-B4)-(D4-C4))+(G4-F4))*24)&lt;=0),(((((E4-B4)-(D4-C4))+(G4-F4))*24)&gt;20),B3=0)=TRUE),IF(H3&gt;0,H3,""),(((((E4-B4)-(D4-C4))+(G4-F4))*24)+H3))</f>
        <v>9.25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thickBot="1" x14ac:dyDescent="0.25">
      <c r="A4" s="67" t="s">
        <v>1</v>
      </c>
      <c r="B4" s="38">
        <f t="shared" ref="B4:G4" si="0">IF((ISERROR(MROUND(B3,(0.25/24)))=TRUE),"",IF((OR((MINUTE(B3)=7.499),(MINUTE(B3)=22.499),(MINUTE(B3)=37.499),(MINUTE(B3)=52.499))=TRUE),MROUND((B3+((1/60)/24)),(0.25/24)),MROUND(B3,(0.25/24))))</f>
        <v>0.33333333333333331</v>
      </c>
      <c r="C4" s="39">
        <f t="shared" si="0"/>
        <v>0.57291666666666663</v>
      </c>
      <c r="D4" s="39">
        <f t="shared" si="0"/>
        <v>0.60416666666666663</v>
      </c>
      <c r="E4" s="39">
        <f t="shared" si="0"/>
        <v>0.75</v>
      </c>
      <c r="F4" s="39">
        <f t="shared" si="0"/>
        <v>0</v>
      </c>
      <c r="G4" s="39">
        <f t="shared" si="0"/>
        <v>0</v>
      </c>
      <c r="H4" s="40"/>
      <c r="I4" s="41"/>
      <c r="J4" s="42"/>
      <c r="K4" s="43"/>
      <c r="L4" s="44"/>
      <c r="M4" s="45"/>
    </row>
    <row r="5" spans="1:13" ht="12.75" customHeight="1" x14ac:dyDescent="0.2">
      <c r="A5" s="1" t="s">
        <v>12</v>
      </c>
      <c r="B5" s="78">
        <v>0.375</v>
      </c>
      <c r="C5" s="79">
        <v>0.5625</v>
      </c>
      <c r="D5" s="80">
        <v>0.58333333333333337</v>
      </c>
      <c r="E5" s="80">
        <v>0.70833333333333337</v>
      </c>
      <c r="F5" s="47">
        <v>0.8125</v>
      </c>
      <c r="G5" s="47">
        <v>0.89583333333333326</v>
      </c>
      <c r="H5" s="40"/>
      <c r="I5" s="42"/>
      <c r="J5" s="48" t="str">
        <f t="shared" ref="J5:J13" si="1">IF(OR(I5="comp",I5="cat",I5="pto",I5=""),"",I5)</f>
        <v/>
      </c>
      <c r="K5" s="49">
        <f>IF((OR((((((E6-B6)-(D6-C6))+(G6-F6))*24)&lt;=0),(((((E6-B6)-(D6-C6))+(G6-F6))*24)&gt;20),B5=0)=TRUE),IF(H5&gt;0,H5,""),(((((E6-B6)-(D6-C6))+(G6-F6))*24)+H5))</f>
        <v>9.4999999999999982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t="s">
        <v>69</v>
      </c>
    </row>
    <row r="6" spans="1:13" s="17" customFormat="1" ht="12.75" hidden="1" customHeight="1" x14ac:dyDescent="0.2">
      <c r="A6" s="67" t="s">
        <v>1</v>
      </c>
      <c r="B6" s="38">
        <f t="shared" ref="B6:G6" si="2">IF((ISERROR(MROUND(B5,(0.25/24)))=TRUE),"",IF((OR((MINUTE(B5)=7.499),(MINUTE(B5)=22.499),(MINUTE(B5)=37.499),(MINUTE(B5)=52.499))=TRUE),MROUND((B5+((1/60)/24)),(0.25/24)),MROUND(B5,(0.25/24))))</f>
        <v>0.375</v>
      </c>
      <c r="C6" s="39">
        <f t="shared" si="2"/>
        <v>0.5625</v>
      </c>
      <c r="D6" s="39">
        <f t="shared" si="2"/>
        <v>0.58333333333333326</v>
      </c>
      <c r="E6" s="39">
        <f t="shared" si="2"/>
        <v>0.70833333333333326</v>
      </c>
      <c r="F6" s="39">
        <f t="shared" si="2"/>
        <v>0.8125</v>
      </c>
      <c r="G6" s="39">
        <f t="shared" si="2"/>
        <v>0.89583333333333326</v>
      </c>
      <c r="H6" s="40"/>
      <c r="I6" s="41"/>
      <c r="J6" s="42"/>
      <c r="K6" s="43"/>
      <c r="L6" s="44"/>
      <c r="M6" s="45"/>
    </row>
    <row r="7" spans="1:13" ht="12.75" customHeight="1" x14ac:dyDescent="0.2">
      <c r="A7" s="1" t="s">
        <v>14</v>
      </c>
      <c r="B7" s="78">
        <v>0.33333333333333331</v>
      </c>
      <c r="C7" s="79">
        <v>0.5</v>
      </c>
      <c r="D7" s="79">
        <v>0.54166666666666663</v>
      </c>
      <c r="E7" s="79">
        <v>0.69791666666666663</v>
      </c>
      <c r="F7" s="47"/>
      <c r="G7" s="47"/>
      <c r="H7" s="40"/>
      <c r="I7" s="42"/>
      <c r="J7" s="48" t="str">
        <f t="shared" si="1"/>
        <v/>
      </c>
      <c r="K7" s="49">
        <f>IF((OR((((((E8-B8)-(D8-C8))+(G8-F8))*24)&lt;=0),(((((E8-B8)-(D8-C8))+(G8-F8))*24)&gt;20),B7=0)=TRUE),IF(H7&gt;0,H7,""),(((((E8-B8)-(D8-C8))+(G8-F8))*24)+H7))</f>
        <v>7.75</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f t="shared" ref="B8:G8" si="3">IF((ISERROR(MROUND(B7,(0.25/24)))=TRUE),"",IF((OR((MINUTE(B7)=7.499),(MINUTE(B7)=22.499),(MINUTE(B7)=37.499),(MINUTE(B7)=52.499))=TRUE),MROUND((B7+((1/60)/24)),(0.25/24)),MROUND(B7,(0.25/24))))</f>
        <v>0.33333333333333331</v>
      </c>
      <c r="C8" s="39">
        <f t="shared" si="3"/>
        <v>0.5</v>
      </c>
      <c r="D8" s="39">
        <f t="shared" si="3"/>
        <v>0.54166666666666663</v>
      </c>
      <c r="E8" s="39">
        <f t="shared" si="3"/>
        <v>0.69791666666666663</v>
      </c>
      <c r="F8" s="39">
        <f t="shared" si="3"/>
        <v>0</v>
      </c>
      <c r="G8" s="39">
        <f t="shared" si="3"/>
        <v>0</v>
      </c>
      <c r="H8" s="40"/>
      <c r="I8" s="41"/>
      <c r="J8" s="42"/>
      <c r="K8" s="43"/>
      <c r="L8" s="44"/>
      <c r="M8" s="45"/>
    </row>
    <row r="9" spans="1:13" ht="12.75" customHeight="1" x14ac:dyDescent="0.2">
      <c r="A9" s="1" t="s">
        <v>10</v>
      </c>
      <c r="B9" s="78">
        <v>0.35416666666666669</v>
      </c>
      <c r="C9" s="79">
        <v>0.54166666666666663</v>
      </c>
      <c r="D9" s="79">
        <v>0.5625</v>
      </c>
      <c r="E9" s="79">
        <v>0.71875</v>
      </c>
      <c r="F9" s="47"/>
      <c r="G9" s="47"/>
      <c r="H9" s="40"/>
      <c r="I9" s="42"/>
      <c r="J9" s="48" t="str">
        <f t="shared" si="1"/>
        <v/>
      </c>
      <c r="K9" s="49">
        <f>IF((OR((((((E10-B10)-(D10-C10))+(G10-F10))*24)&lt;=0),(((((E10-B10)-(D10-C10))+(G10-F10))*24)&gt;20),B9=0)=TRUE),IF(H9&gt;0,H9,""),(((((E10-B10)-(D10-C10))+(G10-F10))*24)+H9))</f>
        <v>8.25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f t="shared" ref="B10:G10" si="4">IF((ISERROR(MROUND(B9,(0.25/24)))=TRUE),"",IF((OR((MINUTE(B9)=7.499),(MINUTE(B9)=22.499),(MINUTE(B9)=37.499),(MINUTE(B9)=52.499))=TRUE),MROUND((B9+((1/60)/24)),(0.25/24)),MROUND(B9,(0.25/24))))</f>
        <v>0.35416666666666663</v>
      </c>
      <c r="C10" s="39">
        <f t="shared" si="4"/>
        <v>0.54166666666666663</v>
      </c>
      <c r="D10" s="39">
        <f t="shared" si="4"/>
        <v>0.5625</v>
      </c>
      <c r="E10" s="39">
        <f t="shared" si="4"/>
        <v>0.71875</v>
      </c>
      <c r="F10" s="39">
        <f t="shared" si="4"/>
        <v>0</v>
      </c>
      <c r="G10" s="39">
        <f t="shared" si="4"/>
        <v>0</v>
      </c>
      <c r="H10" s="40"/>
      <c r="I10" s="41"/>
      <c r="J10" s="42"/>
      <c r="K10" s="43"/>
      <c r="L10" s="44"/>
      <c r="M10" s="45"/>
    </row>
    <row r="11" spans="1:13" ht="12.75" customHeight="1" x14ac:dyDescent="0.2">
      <c r="A11" s="1" t="s">
        <v>16</v>
      </c>
      <c r="B11" s="78">
        <v>0.35416666666666669</v>
      </c>
      <c r="C11" s="79"/>
      <c r="D11" s="79"/>
      <c r="E11" s="79"/>
      <c r="F11" s="47"/>
      <c r="G11" s="47"/>
      <c r="H11" s="66"/>
      <c r="I11" s="42"/>
      <c r="J11" s="48" t="str">
        <f t="shared" si="1"/>
        <v/>
      </c>
      <c r="K11" s="49" t="str">
        <f>IF((OR((((((E12-B12)-(D12-C12))+(G12-F12))*24)&lt;=0),(((((E12-B12)-(D12-C12))+(G12-F12))*24)&gt;20),B11=0)=TRUE),IF(H11&gt;0,H11,""),(((((E12-B12)-(D12-C12))+(G12-F12))*24)+H11))</f>
        <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&lt;--- Incorrect or incomplete entries. </v>
      </c>
      <c r="M11" s="50"/>
    </row>
    <row r="12" spans="1:13" s="17" customFormat="1" ht="12.75" hidden="1" customHeight="1" x14ac:dyDescent="0.2">
      <c r="A12" s="67" t="s">
        <v>1</v>
      </c>
      <c r="B12" s="38">
        <f t="shared" ref="B12:G12" si="5">IF((ISERROR(MROUND(B11,(0.25/24)))=TRUE),"",IF((OR((MINUTE(B11)=7.499),(MINUTE(B11)=22.499),(MINUTE(B11)=37.499),(MINUTE(B11)=52.499))=TRUE),MROUND((B11+((1/60)/24)),(0.25/24)),MROUND(B11,(0.25/24))))</f>
        <v>0.35416666666666663</v>
      </c>
      <c r="C12" s="39">
        <f t="shared" si="5"/>
        <v>0</v>
      </c>
      <c r="D12" s="39">
        <f t="shared" si="5"/>
        <v>0</v>
      </c>
      <c r="E12" s="39">
        <f t="shared" si="5"/>
        <v>0</v>
      </c>
      <c r="F12" s="39">
        <f t="shared" si="5"/>
        <v>0</v>
      </c>
      <c r="G12" s="39">
        <f t="shared" si="5"/>
        <v>0</v>
      </c>
      <c r="H12" s="40"/>
      <c r="I12" s="41"/>
      <c r="J12" s="48"/>
      <c r="K12" s="43"/>
      <c r="L12" s="44"/>
      <c r="M12" s="45"/>
    </row>
    <row r="13" spans="1:13" ht="12.75" customHeight="1" thickBot="1" x14ac:dyDescent="0.25">
      <c r="A13" s="10" t="s">
        <v>9</v>
      </c>
      <c r="B13" s="51"/>
      <c r="C13" s="52"/>
      <c r="D13" s="52"/>
      <c r="E13" s="52"/>
      <c r="F13" s="52"/>
      <c r="G13" s="52"/>
      <c r="H13" s="53"/>
      <c r="I13" s="54"/>
      <c r="J13" s="55" t="str">
        <f t="shared" si="1"/>
        <v/>
      </c>
      <c r="K13" s="56" t="str">
        <f>IF((OR((((((E14-B14)-(D14-C14))+(G14-F14))*24)&lt;=0),(((((E14-B14)-(D14-C14))+(G14-F14))*24)&gt;20),B13=0)=TRUE),IF(H13&gt;0,H13,""),(((((E14-B14)-(D14-C14))+(G14-F14))*24)+H13))</f>
        <v/>
      </c>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f t="shared" ref="B14:G14" si="6">IF((ISERROR(MROUND(B13,(0.25/24)))=TRUE),"",IF((OR((MINUTE(B13)=7.499),(MINUTE(B13)=22.499),(MINUTE(B13)=37.499),(MINUTE(B13)=52.499))=TRUE),MROUND((B13+((1/60)/24)),(0.25/24)),MROUND(B13,(0.25/24))))</f>
        <v>0</v>
      </c>
      <c r="C14" s="15">
        <f t="shared" si="6"/>
        <v>0</v>
      </c>
      <c r="D14" s="15">
        <f t="shared" si="6"/>
        <v>0</v>
      </c>
      <c r="E14" s="15">
        <f t="shared" si="6"/>
        <v>0</v>
      </c>
      <c r="F14" s="15">
        <f t="shared" si="6"/>
        <v>0</v>
      </c>
      <c r="G14" s="15">
        <f t="shared" si="6"/>
        <v>0</v>
      </c>
      <c r="H14" s="27">
        <f>SUM(H3:H13)-(SUMIF(I3:I13,"cat",H3:H13)+SUMIF(I3:I13,"comp",H3:H13)+SUMIF(I3:I13,"pto",H3:H13)+SUMIF(I3:I13,"holiday",H3:H13))</f>
        <v>0</v>
      </c>
      <c r="I14" s="20"/>
      <c r="J14" s="20"/>
      <c r="K14" s="16"/>
      <c r="L14" s="18"/>
    </row>
    <row r="15" spans="1:13" ht="12.75" customHeight="1" x14ac:dyDescent="0.2">
      <c r="A15" s="6"/>
      <c r="B15" s="71"/>
      <c r="C15" s="72"/>
      <c r="D15" s="72"/>
      <c r="E15" s="72"/>
      <c r="F15" s="72"/>
      <c r="G15" s="72"/>
      <c r="H15" s="7"/>
      <c r="I15" s="3"/>
      <c r="J15" s="3"/>
      <c r="K15" s="9">
        <f>SUM(K3:K13)</f>
        <v>34.75</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5.25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4" t="s">
        <v>63</v>
      </c>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6" t="str">
        <f>IF(K15&gt;=B1,"",IF(AND(COUNTIF(K3:K11,"&gt;=4")=4,COUNTIF(B9:B12,"&gt;0")&gt;2),CONCATENATE("Trying to hit ",B1," hours exactly? Estimate your final punch below"),""))</f>
        <v>Trying to hit 40 hours exactly? Estimate your final punch below</v>
      </c>
      <c r="B19" s="107"/>
      <c r="C19" s="107"/>
      <c r="D19" s="12"/>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You currently have:</v>
      </c>
      <c r="B21" s="3" t="str">
        <f>IF((A21=""),"",CONCATENATE(K15," hours"))</f>
        <v>34.75 hours</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You need:</v>
      </c>
      <c r="B22" s="3" t="str">
        <f>IF((B21=""),"",CONCATENATE(ROUND((B1-K15),2)," hours"))</f>
        <v>5.25 hours</v>
      </c>
      <c r="K22" s="4"/>
      <c r="L22" s="5"/>
    </row>
    <row r="23" spans="1:12" ht="12.75" customHeight="1" x14ac:dyDescent="0.2">
      <c r="A23" s="1" t="str">
        <f>IF((A22=""),"","Today's lunch?")</f>
        <v>Today's lunch?</v>
      </c>
      <c r="B23" s="20"/>
      <c r="C23" s="108" t="str">
        <f>IF((A23=""),"",IF(AND((ISBLANK(D11)=FALSE),(ISBLANK(C11)=FALSE)),"You've already entered in lunch punches for today. I'll use those numbers.","&lt;--- Enter today's lunch time as a decimal (e.g. 45 minutes would be .75). Entering nothing will default to 1 hour. You can enter 0 for no lunch."))</f>
        <v>&lt;--- Enter today's lunch time as a decimal (e.g. 45 minutes would be .75). Entering nothing will default to 1 hour. You can enter 0 for no lunch.</v>
      </c>
      <c r="D23" s="109"/>
      <c r="E23" s="109"/>
      <c r="F23" s="109"/>
      <c r="G23" s="109"/>
      <c r="H23" s="109"/>
      <c r="I23" s="109"/>
      <c r="J23" s="24"/>
      <c r="K23" s="4"/>
      <c r="L23" s="5"/>
    </row>
    <row r="24" spans="1:12" ht="12.75" customHeight="1" x14ac:dyDescent="0.2">
      <c r="A24" s="1" t="str">
        <f>IF((A23=""),"","Punch out at:")</f>
        <v>Punch out at:</v>
      </c>
      <c r="B24" s="13">
        <f>IF(COUNTIF(K3:K9,"&gt;4")=4,IF(($A$24=""),"",IF((($C$24="")=FALSE),"Error ----------&gt;",IF((COUNTA(B11:D11)=3),((B12+(($B$1-$K$15)/24))+(D12-C12)),IF(ISBLANK(B23)=FALSE,((B12+(($B$1-$K$15)/24))+($B$23/24)),((B12+(($B$1-$K$15)/24))+(1/24)))))),IF(($A$24=""),"",IF((($C$24="")=FALSE),"Error ----------&gt;",IF((COUNTA(B9:D9)=3),((B10+(($B$1-$K$15)/24))+(D10-C10)),IF(ISBLANK($B$23)=FALSE,((B10+(($B$1-$K$15)/24))+($B$23/24)),((B10+(($B$1-$K$15)/24))+(1/24)))))))</f>
        <v>0.61458333333333326</v>
      </c>
      <c r="C24" s="108" t="str">
        <f>IF((A24=""),"",IF((COUNTA(B11:D11)=2),"Looks like you've got only one lunch punch. Enter another to calculate",""))</f>
        <v/>
      </c>
      <c r="D24" s="109"/>
      <c r="E24" s="109"/>
      <c r="F24" s="109"/>
      <c r="K24" s="4"/>
      <c r="L24" s="5"/>
    </row>
    <row r="25" spans="1:12" ht="12.75" customHeight="1" x14ac:dyDescent="0.2">
      <c r="K25" s="4"/>
      <c r="L25" s="5"/>
    </row>
    <row r="26" spans="1:12" ht="12.75" customHeight="1" x14ac:dyDescent="0.2">
      <c r="K26" s="4"/>
      <c r="L26" s="5"/>
    </row>
    <row r="27" spans="1:12" ht="29.25" customHeight="1" x14ac:dyDescent="0.2">
      <c r="A27" s="14" t="s">
        <v>3</v>
      </c>
      <c r="B27" s="105" t="s">
        <v>6</v>
      </c>
      <c r="C27" s="105"/>
      <c r="D27" s="105"/>
      <c r="E27" s="105"/>
      <c r="F27" s="105"/>
      <c r="G27" s="110"/>
      <c r="H27" s="110"/>
      <c r="K27" s="4"/>
      <c r="L27" s="5"/>
    </row>
    <row r="28" spans="1:12" ht="28.5" customHeight="1" x14ac:dyDescent="0.2">
      <c r="B28" s="111" t="s">
        <v>19</v>
      </c>
      <c r="C28" s="111"/>
      <c r="D28" s="111"/>
      <c r="E28" s="111"/>
      <c r="F28" s="111"/>
      <c r="G28" s="111"/>
      <c r="H28" s="111"/>
      <c r="K28" s="4"/>
      <c r="L28" s="5"/>
    </row>
    <row r="29" spans="1:12" ht="41.25" customHeight="1" x14ac:dyDescent="0.2">
      <c r="B29" s="105" t="s">
        <v>5</v>
      </c>
      <c r="C29" s="105"/>
      <c r="D29" s="105"/>
      <c r="E29" s="105"/>
      <c r="F29" s="105"/>
      <c r="G29" s="105"/>
      <c r="H29" s="105"/>
      <c r="K29" s="4"/>
      <c r="L29" s="5"/>
    </row>
    <row r="30" spans="1:12" ht="29.25" customHeight="1" x14ac:dyDescent="0.2">
      <c r="B30" s="105" t="s">
        <v>17</v>
      </c>
      <c r="C30" s="105"/>
      <c r="D30" s="105"/>
      <c r="E30" s="105"/>
      <c r="F30" s="105"/>
      <c r="G30" s="105"/>
      <c r="H30" s="105"/>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sheetProtection password="ED3E" sheet="1" objects="1" scenarios="1" selectLockedCells="1" selectUnlockedCells="1"/>
  <dataConsolidate/>
  <mergeCells count="7">
    <mergeCell ref="B30:H30"/>
    <mergeCell ref="A19:C19"/>
    <mergeCell ref="C23:I23"/>
    <mergeCell ref="C24:F24"/>
    <mergeCell ref="B27:H27"/>
    <mergeCell ref="B28:H28"/>
    <mergeCell ref="B29:H29"/>
  </mergeCells>
  <conditionalFormatting sqref="A19:C19">
    <cfRule type="cellIs" dxfId="13" priority="3" stopIfTrue="1" operator="notEqual">
      <formula>""</formula>
    </cfRule>
  </conditionalFormatting>
  <conditionalFormatting sqref="A24:B24">
    <cfRule type="cellIs" dxfId="12" priority="2" stopIfTrue="1" operator="notEqual">
      <formula>""</formula>
    </cfRule>
  </conditionalFormatting>
  <conditionalFormatting sqref="H3:I13">
    <cfRule type="containsBlanks" dxfId="11" priority="4" stopIfTrue="1">
      <formula>LEN(TRIM(H3))=0</formula>
    </cfRule>
  </conditionalFormatting>
  <conditionalFormatting sqref="B3:G13">
    <cfRule type="containsBlanks" dxfId="10" priority="1" stopIfTrue="1">
      <formula>LEN(TRIM(B3))=0</formula>
    </cfRule>
  </conditionalFormatting>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102"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9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c r="C5" s="47"/>
      <c r="D5" s="47"/>
      <c r="E5" s="47"/>
      <c r="F5" s="82"/>
      <c r="G5" s="47"/>
      <c r="H5" s="40"/>
      <c r="I5" s="42"/>
      <c r="J5" s="48" t="str">
        <f t="shared" si="0"/>
        <v/>
      </c>
      <c r="K5" s="97"/>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c r="I7" s="42"/>
      <c r="J7" s="48" t="str">
        <f t="shared" si="0"/>
        <v/>
      </c>
      <c r="K7" s="97"/>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c r="I9" s="42"/>
      <c r="J9" s="48" t="str">
        <f t="shared" si="0"/>
        <v/>
      </c>
      <c r="K9" s="97"/>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c r="I11" s="42"/>
      <c r="J11" s="48" t="str">
        <f t="shared" si="0"/>
        <v/>
      </c>
      <c r="K11" s="97"/>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6" t="str">
        <f>IF(K15&gt;=B1,"",IF(AND(COUNTIF(K3:K11,"&gt;=4")=4,COUNTIF(B9:B12,"&gt;0")&gt;2),CONCATENATE("Trying to hit ",B1," hours exactly? Estimate your final punch below"),""))</f>
        <v/>
      </c>
      <c r="B19" s="107"/>
      <c r="C19" s="107"/>
      <c r="D19" s="103"/>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8" t="str">
        <f>IF((A23=""),"",IF(AND((ISBLANK(D11)=FALSE),(ISBLANK(C11)=FALSE)),"You've already entered in lunch punches for today. I'll use those numbers.","&lt;--- Enter today's lunch time as a decimal (e.g. 45 minutes would be .75). Entering nothing will default to 1 hour. You can enter 0 for no lunch."))</f>
        <v/>
      </c>
      <c r="D23" s="109"/>
      <c r="E23" s="109"/>
      <c r="F23" s="109"/>
      <c r="G23" s="109"/>
      <c r="H23" s="109"/>
      <c r="I23" s="109"/>
      <c r="J23" s="104"/>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8" t="str">
        <f>IF((A24=""),"",IF((COUNTA(B11:D11)=2),"Looks like you've got only one lunch punch. Enter another to calculate",""))</f>
        <v/>
      </c>
      <c r="D24" s="109"/>
      <c r="E24" s="109"/>
      <c r="F24" s="109"/>
      <c r="K24" s="4"/>
      <c r="L24" s="5"/>
    </row>
    <row r="25" spans="1:12" ht="12.75" customHeight="1" x14ac:dyDescent="0.2">
      <c r="K25" s="4"/>
      <c r="L25" s="5"/>
    </row>
    <row r="26" spans="1:12" ht="12.75" customHeight="1" x14ac:dyDescent="0.2">
      <c r="K26" s="4"/>
      <c r="L26" s="5"/>
    </row>
    <row r="27" spans="1:12" ht="29.25" customHeight="1" x14ac:dyDescent="0.2">
      <c r="A27" s="14" t="s">
        <v>3</v>
      </c>
      <c r="B27" s="105" t="s">
        <v>6</v>
      </c>
      <c r="C27" s="105"/>
      <c r="D27" s="105"/>
      <c r="E27" s="105"/>
      <c r="F27" s="105"/>
      <c r="G27" s="110"/>
      <c r="H27" s="110"/>
      <c r="K27" s="4"/>
      <c r="L27" s="5"/>
    </row>
    <row r="28" spans="1:12" ht="28.5" customHeight="1" x14ac:dyDescent="0.2">
      <c r="B28" s="111" t="s">
        <v>19</v>
      </c>
      <c r="C28" s="111"/>
      <c r="D28" s="111"/>
      <c r="E28" s="111"/>
      <c r="F28" s="111"/>
      <c r="G28" s="111"/>
      <c r="H28" s="111"/>
      <c r="K28" s="4"/>
      <c r="L28" s="5"/>
    </row>
    <row r="29" spans="1:12" ht="41.25" customHeight="1" x14ac:dyDescent="0.2">
      <c r="B29" s="105" t="s">
        <v>75</v>
      </c>
      <c r="C29" s="105"/>
      <c r="D29" s="105"/>
      <c r="E29" s="105"/>
      <c r="F29" s="105"/>
      <c r="G29" s="105"/>
      <c r="H29" s="105"/>
      <c r="K29" s="4"/>
      <c r="L29" s="5"/>
    </row>
    <row r="30" spans="1:12" ht="29.25" customHeight="1" x14ac:dyDescent="0.2">
      <c r="B30" s="105" t="s">
        <v>17</v>
      </c>
      <c r="C30" s="105"/>
      <c r="D30" s="105"/>
      <c r="E30" s="105"/>
      <c r="F30" s="105"/>
      <c r="G30" s="105"/>
      <c r="H30" s="105"/>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18913"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18914"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18915"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18916"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18917"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4" sqref="C4"/>
    </sheetView>
  </sheetViews>
  <sheetFormatPr defaultRowHeight="12.75" x14ac:dyDescent="0.2"/>
  <cols>
    <col min="1" max="1" width="13.140625" style="59" customWidth="1"/>
    <col min="2" max="2" width="11.28515625" style="59" bestFit="1" customWidth="1"/>
    <col min="3" max="3" width="6.42578125" style="59" customWidth="1"/>
    <col min="4" max="16384" width="9.140625" style="59"/>
  </cols>
  <sheetData>
    <row r="1" spans="1:4" x14ac:dyDescent="0.2">
      <c r="A1" s="59" t="s">
        <v>21</v>
      </c>
    </row>
    <row r="3" spans="1:4" x14ac:dyDescent="0.2">
      <c r="A3" s="60" t="s">
        <v>22</v>
      </c>
      <c r="B3" s="61" t="s">
        <v>24</v>
      </c>
      <c r="C3" s="65" t="s">
        <v>50</v>
      </c>
      <c r="D3" s="5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61" t="s">
        <v>23</v>
      </c>
      <c r="C4" s="65"/>
    </row>
    <row r="5" spans="1:4" x14ac:dyDescent="0.2">
      <c r="B5" s="61" t="s">
        <v>49</v>
      </c>
      <c r="C5" s="65"/>
    </row>
    <row r="6" spans="1:4" x14ac:dyDescent="0.2">
      <c r="B6" s="61"/>
      <c r="C6" s="62"/>
    </row>
    <row r="7" spans="1:4" x14ac:dyDescent="0.2">
      <c r="A7" s="61" t="s">
        <v>25</v>
      </c>
      <c r="B7" s="63">
        <f>IF(C4="x",1,IF(C5="x",0,1.5))</f>
        <v>1.5</v>
      </c>
      <c r="C7" s="64" t="s">
        <v>26</v>
      </c>
    </row>
    <row r="11" spans="1:4" x14ac:dyDescent="0.2">
      <c r="A11" s="64" t="s">
        <v>57</v>
      </c>
    </row>
    <row r="12" spans="1:4" x14ac:dyDescent="0.2">
      <c r="A12" s="73" t="s">
        <v>56</v>
      </c>
    </row>
    <row r="13" spans="1:4" x14ac:dyDescent="0.2">
      <c r="B13" s="81"/>
      <c r="C13" s="81"/>
    </row>
    <row r="14" spans="1:4" x14ac:dyDescent="0.2">
      <c r="B14" s="81"/>
      <c r="C14" s="81"/>
    </row>
  </sheetData>
  <sheetProtection password="ED3E" sheet="1"/>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workbookViewId="0">
      <selection activeCell="N3" sqref="N3:N10"/>
    </sheetView>
  </sheetViews>
  <sheetFormatPr defaultRowHeight="12.75" x14ac:dyDescent="0.2"/>
  <cols>
    <col min="1" max="1" width="5.7109375" customWidth="1"/>
  </cols>
  <sheetData>
    <row r="1" spans="1:18" x14ac:dyDescent="0.2">
      <c r="A1" s="112" t="s">
        <v>28</v>
      </c>
      <c r="B1" s="112"/>
      <c r="C1" s="112"/>
      <c r="D1" s="112"/>
      <c r="E1" s="112"/>
      <c r="N1" s="113" t="s">
        <v>41</v>
      </c>
      <c r="O1" s="113"/>
      <c r="P1" s="113"/>
      <c r="Q1" s="113"/>
      <c r="R1" s="113"/>
    </row>
    <row r="3" spans="1:18" x14ac:dyDescent="0.2">
      <c r="A3" s="70" t="s">
        <v>34</v>
      </c>
      <c r="N3" t="s">
        <v>42</v>
      </c>
    </row>
    <row r="4" spans="1:18" x14ac:dyDescent="0.2">
      <c r="B4" t="s">
        <v>29</v>
      </c>
      <c r="N4" t="s">
        <v>43</v>
      </c>
    </row>
    <row r="5" spans="1:18" x14ac:dyDescent="0.2">
      <c r="B5" t="s">
        <v>30</v>
      </c>
      <c r="N5" t="s">
        <v>44</v>
      </c>
    </row>
    <row r="6" spans="1:18" x14ac:dyDescent="0.2">
      <c r="B6" t="s">
        <v>31</v>
      </c>
      <c r="N6" t="s">
        <v>45</v>
      </c>
    </row>
    <row r="7" spans="1:18" x14ac:dyDescent="0.2">
      <c r="B7" t="s">
        <v>32</v>
      </c>
      <c r="N7" t="s">
        <v>46</v>
      </c>
    </row>
    <row r="8" spans="1:18" x14ac:dyDescent="0.2">
      <c r="B8" t="s">
        <v>33</v>
      </c>
      <c r="N8" t="s">
        <v>47</v>
      </c>
    </row>
    <row r="9" spans="1:18" x14ac:dyDescent="0.2">
      <c r="N9" t="s">
        <v>48</v>
      </c>
    </row>
    <row r="10" spans="1:18" x14ac:dyDescent="0.2">
      <c r="A10" s="70" t="s">
        <v>35</v>
      </c>
      <c r="N10" t="s">
        <v>83</v>
      </c>
    </row>
    <row r="11" spans="1:18" x14ac:dyDescent="0.2">
      <c r="B11" t="s">
        <v>36</v>
      </c>
    </row>
    <row r="12" spans="1:18" x14ac:dyDescent="0.2">
      <c r="B12" t="s">
        <v>37</v>
      </c>
    </row>
    <row r="14" spans="1:18" x14ac:dyDescent="0.2">
      <c r="A14" s="70" t="s">
        <v>55</v>
      </c>
    </row>
    <row r="15" spans="1:18" x14ac:dyDescent="0.2">
      <c r="B15" t="s">
        <v>38</v>
      </c>
    </row>
    <row r="16" spans="1:18" x14ac:dyDescent="0.2">
      <c r="B16" t="s">
        <v>39</v>
      </c>
    </row>
    <row r="17" spans="1:2" x14ac:dyDescent="0.2">
      <c r="B17" t="s">
        <v>40</v>
      </c>
    </row>
    <row r="18" spans="1:2" x14ac:dyDescent="0.2">
      <c r="B18" t="s">
        <v>53</v>
      </c>
    </row>
    <row r="19" spans="1:2" x14ac:dyDescent="0.2">
      <c r="B19" t="s">
        <v>52</v>
      </c>
    </row>
    <row r="20" spans="1:2" x14ac:dyDescent="0.2">
      <c r="B20" t="s">
        <v>51</v>
      </c>
    </row>
    <row r="21" spans="1:2" x14ac:dyDescent="0.2">
      <c r="B21" t="s">
        <v>54</v>
      </c>
    </row>
    <row r="23" spans="1:2" x14ac:dyDescent="0.2">
      <c r="A23" s="70" t="s">
        <v>70</v>
      </c>
    </row>
    <row r="24" spans="1:2" x14ac:dyDescent="0.2">
      <c r="B24" t="s">
        <v>59</v>
      </c>
    </row>
    <row r="25" spans="1:2" x14ac:dyDescent="0.2">
      <c r="B25" t="s">
        <v>60</v>
      </c>
    </row>
    <row r="26" spans="1:2" x14ac:dyDescent="0.2">
      <c r="B26" t="s">
        <v>61</v>
      </c>
    </row>
    <row r="27" spans="1:2" x14ac:dyDescent="0.2">
      <c r="B27" t="s">
        <v>62</v>
      </c>
    </row>
    <row r="28" spans="1:2" x14ac:dyDescent="0.2">
      <c r="B28" t="s">
        <v>65</v>
      </c>
    </row>
    <row r="29" spans="1:2" x14ac:dyDescent="0.2">
      <c r="B29" t="s">
        <v>64</v>
      </c>
    </row>
    <row r="30" spans="1:2" x14ac:dyDescent="0.2">
      <c r="B30" t="s">
        <v>66</v>
      </c>
    </row>
    <row r="31" spans="1:2" x14ac:dyDescent="0.2">
      <c r="B31" t="s">
        <v>67</v>
      </c>
    </row>
    <row r="32" spans="1:2" x14ac:dyDescent="0.2">
      <c r="B32" t="s">
        <v>68</v>
      </c>
    </row>
    <row r="34" spans="1:2" x14ac:dyDescent="0.2">
      <c r="A34" s="70" t="s">
        <v>72</v>
      </c>
    </row>
    <row r="35" spans="1:2" x14ac:dyDescent="0.2">
      <c r="B35" t="s">
        <v>71</v>
      </c>
    </row>
    <row r="36" spans="1:2" x14ac:dyDescent="0.2">
      <c r="B36" t="s">
        <v>73</v>
      </c>
    </row>
    <row r="37" spans="1:2" x14ac:dyDescent="0.2">
      <c r="B37" t="s">
        <v>74</v>
      </c>
    </row>
    <row r="38" spans="1:2" x14ac:dyDescent="0.2">
      <c r="B38" t="s">
        <v>77</v>
      </c>
    </row>
    <row r="40" spans="1:2" x14ac:dyDescent="0.2">
      <c r="A40" s="70" t="s">
        <v>78</v>
      </c>
    </row>
    <row r="41" spans="1:2" x14ac:dyDescent="0.2">
      <c r="B41" t="s">
        <v>79</v>
      </c>
    </row>
    <row r="42" spans="1:2" x14ac:dyDescent="0.2">
      <c r="B42" t="s">
        <v>80</v>
      </c>
    </row>
    <row r="43" spans="1:2" x14ac:dyDescent="0.2">
      <c r="B43" t="s">
        <v>81</v>
      </c>
    </row>
    <row r="44" spans="1:2" x14ac:dyDescent="0.2">
      <c r="B44" t="s">
        <v>82</v>
      </c>
    </row>
    <row r="46" spans="1:2" x14ac:dyDescent="0.2">
      <c r="A46" s="70" t="s">
        <v>87</v>
      </c>
    </row>
    <row r="47" spans="1:2" x14ac:dyDescent="0.2">
      <c r="B47" t="s">
        <v>84</v>
      </c>
    </row>
    <row r="48" spans="1:2" x14ac:dyDescent="0.2">
      <c r="B48" t="s">
        <v>85</v>
      </c>
    </row>
    <row r="49" spans="1:2" x14ac:dyDescent="0.2">
      <c r="B49" t="s">
        <v>86</v>
      </c>
    </row>
    <row r="51" spans="1:2" x14ac:dyDescent="0.2">
      <c r="A51" s="70" t="s">
        <v>94</v>
      </c>
    </row>
    <row r="52" spans="1:2" x14ac:dyDescent="0.2">
      <c r="B52" t="s">
        <v>92</v>
      </c>
    </row>
    <row r="54" spans="1:2" x14ac:dyDescent="0.2">
      <c r="A54" s="70" t="s">
        <v>93</v>
      </c>
    </row>
    <row r="55" spans="1:2" x14ac:dyDescent="0.2">
      <c r="A55" t="s">
        <v>88</v>
      </c>
      <c r="B55" t="s">
        <v>89</v>
      </c>
    </row>
    <row r="56" spans="1:2" x14ac:dyDescent="0.2">
      <c r="A56" t="s">
        <v>88</v>
      </c>
      <c r="B56" t="s">
        <v>90</v>
      </c>
    </row>
    <row r="57" spans="1:2" x14ac:dyDescent="0.2">
      <c r="A57" t="s">
        <v>88</v>
      </c>
      <c r="B57" t="s">
        <v>91</v>
      </c>
    </row>
    <row r="58" spans="1:2" x14ac:dyDescent="0.2">
      <c r="B58" t="s">
        <v>95</v>
      </c>
    </row>
    <row r="59" spans="1:2" x14ac:dyDescent="0.2">
      <c r="B59" t="s">
        <v>96</v>
      </c>
    </row>
    <row r="60" spans="1:2" x14ac:dyDescent="0.2">
      <c r="B60" t="s">
        <v>98</v>
      </c>
    </row>
    <row r="61" spans="1:2" x14ac:dyDescent="0.2">
      <c r="A61" t="s">
        <v>88</v>
      </c>
      <c r="B61" t="s">
        <v>99</v>
      </c>
    </row>
    <row r="62" spans="1:2" x14ac:dyDescent="0.2">
      <c r="A62" t="s">
        <v>88</v>
      </c>
      <c r="B62" t="s">
        <v>100</v>
      </c>
    </row>
    <row r="63" spans="1:2" x14ac:dyDescent="0.2">
      <c r="B63" t="s">
        <v>101</v>
      </c>
    </row>
    <row r="64" spans="1:2" x14ac:dyDescent="0.2">
      <c r="B64" t="s">
        <v>102</v>
      </c>
    </row>
    <row r="66" spans="1:2" x14ac:dyDescent="0.2">
      <c r="A66" s="70" t="s">
        <v>104</v>
      </c>
    </row>
    <row r="67" spans="1:2" x14ac:dyDescent="0.2">
      <c r="A67" s="70"/>
      <c r="B67" t="s">
        <v>103</v>
      </c>
    </row>
    <row r="68" spans="1:2" x14ac:dyDescent="0.2">
      <c r="B68" t="s">
        <v>105</v>
      </c>
    </row>
    <row r="69" spans="1:2" x14ac:dyDescent="0.2">
      <c r="B69" s="114" t="s">
        <v>106</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Example</vt:lpstr>
      <vt:lpstr>Supervisor Time Sheet Planner</vt:lpstr>
      <vt:lpstr>User Prefs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2013-05-28T13:45:08Z</dcterms:modified>
</cp:coreProperties>
</file>