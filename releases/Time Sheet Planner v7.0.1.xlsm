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s>
  <functionGroups builtInGroupCount="17"/>
  <calcPr calcId="145621"/>
</workbook>
</file>

<file path=xl/calcChain.xml><?xml version="1.0" encoding="utf-8"?>
<calcChain xmlns="http://schemas.openxmlformats.org/spreadsheetml/2006/main">
  <c r="K12" i="1832" l="1"/>
  <c r="K10" i="1832"/>
  <c r="K13" i="1832" s="1"/>
  <c r="K11" i="1832" l="1"/>
  <c r="I21" i="198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K16" i="1836"/>
  <c r="H12" i="1832"/>
  <c r="L11" i="1832" s="1"/>
  <c r="G13" i="1832"/>
  <c r="H13" i="1832" s="1"/>
  <c r="G14" i="1832"/>
  <c r="H14" i="1832" s="1"/>
  <c r="A24" i="1836" l="1"/>
  <c r="C23" i="1836"/>
  <c r="C24" i="1836" l="1"/>
  <c r="B24" i="1836"/>
  <c r="D3" i="5" l="1"/>
  <c r="B7" i="5"/>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<sst xmlns="http://schemas.openxmlformats.org/spreadsheetml/2006/main" count="161" uniqueCount="106">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</sst>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0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ht="12.75" customHeight="1"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ht="12.75" customHeight="1" x14ac:dyDescent="0.2">
      <c r="A4" s="87" t="s">
        <v>10</v>
      </c>
      <c r="B4" s="36"/>
      <c r="C4" s="37"/>
      <c r="D4" s="37"/>
      <c r="E4" s="37"/>
      <c r="F4" s="66"/>
      <c r="G4" s="37"/>
      <c r="H4" s="30"/>
      <c r="I4" s="32"/>
      <c r="J4" s="38" t="str">
        <f t="shared" ref="J4:J9" si="1">IF(OR(I4="comp",I4="cat",I4="pto",I4=""),"",I4)</f>
        <v/>
      </c>
      <c r="K4" s="79"/>
      <c r="L4" s="34" t="str">
        <f t="shared" si="0"/>
        <v/>
      </c>
      <c r="M4" s="40"/>
    </row>
    <row r="5" spans="1:13" ht="12.75" customHeight="1" x14ac:dyDescent="0.2">
      <c r="A5" s="87" t="s">
        <v>12</v>
      </c>
      <c r="B5" s="36"/>
      <c r="C5" s="37"/>
      <c r="D5" s="37"/>
      <c r="E5" s="37"/>
      <c r="F5" s="37"/>
      <c r="G5" s="37"/>
      <c r="H5" s="30"/>
      <c r="I5" s="32"/>
      <c r="J5" s="38" t="str">
        <f t="shared" si="1"/>
        <v/>
      </c>
      <c r="K5" s="79"/>
      <c r="L5" s="34" t="str">
        <f t="shared" si="0"/>
        <v/>
      </c>
      <c r="M5" s="40"/>
    </row>
    <row r="6" spans="1:13" ht="12.75" customHeight="1" x14ac:dyDescent="0.2">
      <c r="A6" s="87" t="s">
        <v>8</v>
      </c>
      <c r="B6" s="36"/>
      <c r="C6" s="37"/>
      <c r="D6" s="37"/>
      <c r="E6" s="37"/>
      <c r="F6" s="37"/>
      <c r="G6" s="37"/>
      <c r="H6" s="30"/>
      <c r="I6" s="32"/>
      <c r="J6" s="38" t="str">
        <f t="shared" si="1"/>
        <v/>
      </c>
      <c r="K6" s="79"/>
      <c r="L6" s="34" t="str">
        <f t="shared" si="0"/>
        <v/>
      </c>
      <c r="M6" s="40"/>
    </row>
    <row r="7" spans="1:13" ht="12.75" customHeight="1" x14ac:dyDescent="0.2">
      <c r="A7" s="87" t="s">
        <v>14</v>
      </c>
      <c r="B7" s="36"/>
      <c r="C7" s="37"/>
      <c r="D7" s="37"/>
      <c r="E7" s="37"/>
      <c r="F7" s="37"/>
      <c r="G7" s="37"/>
      <c r="H7" s="56"/>
      <c r="I7" s="32"/>
      <c r="J7" s="38" t="str">
        <f t="shared" si="1"/>
        <v/>
      </c>
      <c r="K7" s="79"/>
      <c r="L7" s="34" t="str">
        <f t="shared" si="0"/>
        <v/>
      </c>
      <c r="M7" s="40"/>
    </row>
    <row r="8" spans="1:13" ht="12.75" customHeight="1" x14ac:dyDescent="0.2">
      <c r="A8" s="86" t="s">
        <v>7</v>
      </c>
      <c r="B8" s="36"/>
      <c r="C8" s="37"/>
      <c r="D8" s="37"/>
      <c r="E8" s="37"/>
      <c r="F8" s="37"/>
      <c r="G8" s="37"/>
      <c r="H8" s="56"/>
      <c r="I8" s="32"/>
      <c r="J8" s="38" t="str">
        <f t="shared" si="1"/>
        <v/>
      </c>
      <c r="K8" s="79"/>
      <c r="L8" s="34" t="str">
        <f t="shared" si="0"/>
        <v/>
      </c>
      <c r="M8" s="40"/>
    </row>
    <row r="9" spans="1:13" s="11" customFormat="1" ht="12.75" customHeight="1"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G10" s="61"/>
      <c r="H10" s="5"/>
      <c r="I10" s="2"/>
      <c r="J10" s="2"/>
      <c r="K10" s="75">
        <f>SUM(K3:K9)</f>
        <v>0</v>
      </c>
      <c r="L10" s="2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76"/>
    </row>
    <row r="11" spans="1:13" ht="54.75" customHeight="1" x14ac:dyDescent="0.2">
      <c r="B11" s="6"/>
      <c r="C11" s="6"/>
      <c r="D11" s="6"/>
      <c r="E11" s="6"/>
      <c r="F11" s="6"/>
      <c r="G11" s="6"/>
      <c r="H11" s="5"/>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"),IF(AND((K10-B1)&gt;0,H12&gt;0, H12&lt;&gt;""),"Woah,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G12" s="1" t="str">
        <f>IF((SUM(H3:H9)=0),"","Total time off used")</f>
        <v/>
      </c>
      <c r="H12" s="8" t="str">
        <f>IF((G12=""),"",CONCATENATE(SUM(H3:H7)," hours"))</f>
        <v/>
      </c>
      <c r="I12" s="5"/>
      <c r="J12" s="5"/>
      <c r="K12" s="3" t="str">
        <f>IF(SUM(H3:H9)&gt;=(B1*0.8),"Vacation week, huh?","")</f>
        <v/>
      </c>
      <c r="L12" s="4"/>
    </row>
    <row r="13" spans="1:13" x14ac:dyDescent="0.2">
      <c r="B13" s="89"/>
      <c r="C13" s="6"/>
      <c r="D13" s="6"/>
      <c r="E13" s="6"/>
      <c r="F13" s="67"/>
      <c r="G13" s="90" t="str">
        <f>IF(G12="","","Comp")</f>
        <v/>
      </c>
      <c r="H13" s="15" t="str">
        <f>IF(G13="","",IF(SUMIF(I3:I9,"comp",H3:H9)=0,"none",SUMIF(I3:I9,"comp",H3:H9)))</f>
        <v/>
      </c>
      <c r="K13" s="3" t="str">
        <f>IF(OR(K10=0,K10&gt;=B1),"",IF(ISBLANK(B7)=FALSE,"",CONCATENATE("On track for ~", ((COUNTBLANK(K3:K7)-4)*MROUND(AVERAGE(K3:K7),0.25))+K10," hrs. total")))</f>
        <v/>
      </c>
      <c r="L13" s="19"/>
    </row>
    <row r="14" spans="1:13" x14ac:dyDescent="0.2">
      <c r="A14" s="91"/>
      <c r="B14" s="92"/>
      <c r="C14" s="92"/>
      <c r="D14" s="71"/>
      <c r="G14" s="14" t="str">
        <f>IF(G12="","","PTO")</f>
        <v/>
      </c>
      <c r="H14" s="15" t="str">
        <f>IF(G14="","",IF(SUMIF(I3:I9,"pto",H3:H9)=0,"none",SUMIF(I3:I9,"pto",H3:H9)))</f>
        <v/>
      </c>
      <c r="K14" s="3"/>
      <c r="L14" s="4"/>
    </row>
    <row r="15" spans="1:13" x14ac:dyDescent="0.2">
      <c r="B15" s="67"/>
      <c r="G15" s="14" t="str">
        <f>IF(G12="","","Catastrophic")</f>
        <v/>
      </c>
      <c r="H15" s="15" t="str">
        <f>IF(G15="","",IF(SUMIF(I3:I9,"cat",H3:H9)=0,"none",SUMIF(I3:I9,"cat",H3:H9)))</f>
        <v/>
      </c>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99" t="str">
        <f>IF(K15&gt;=B1,"",IF(AND(COUNTIF(K3:K11,"&gt;=4")=4,COUNTIF(B9:B12,"&gt;0")&gt;2),CONCATENATE("Trying to hit ",B1," hours exactly? Estimate your final punch below"),""))</f>
        <v/>
      </c>
      <c r="B19" s="100"/>
      <c r="C19" s="10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99" t="str">
        <f>IF(K15&gt;=B1,"",IF(AND(COUNTIF(K3:K11,"&gt;=4")=4,COUNTIF(B9:B12,"&gt;0")&gt;2),CONCATENATE("Trying to hit ",B1," hours exactly? Estimate your final punch below"),""))</f>
        <v/>
      </c>
      <c r="B19" s="100"/>
      <c r="C19" s="10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3" sqref="C3:C4"/>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1" t="s">
        <v>23</v>
      </c>
      <c r="B7" s="53">
        <f>IF(C4="x",1,IF(C5="x",0,1.5))</f>
        <v>1.5</v>
      </c>
      <c r="C7" s="54" t="s">
        <v>24</v>
      </c>
    </row>
    <row r="11" spans="1:4" x14ac:dyDescent="0.2">
      <c r="A11" s="54" t="s">
        <v>55</v>
      </c>
    </row>
    <row r="12" spans="1:4" x14ac:dyDescent="0.2">
      <c r="A12" s="62" t="s">
        <v>54</v>
      </c>
    </row>
    <row r="13" spans="1:4" x14ac:dyDescent="0.2">
      <c r="B13" s="65"/>
      <c r="C13" s="65"/>
    </row>
    <row r="14" spans="1:4" x14ac:dyDescent="0.2">
      <c r="B14" s="65"/>
      <c r="C14" s="65"/>
    </row>
  </sheetData>
  <sheetProtection password="ED3E" sheet="1"/>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05" t="s">
        <v>26</v>
      </c>
      <c r="B1" s="105"/>
      <c r="C1" s="105"/>
      <c r="D1" s="105"/>
      <c r="E1" s="105"/>
      <c r="N1" s="106" t="s">
        <v>39</v>
      </c>
      <c r="O1" s="106"/>
      <c r="P1" s="106"/>
      <c r="Q1" s="106"/>
      <c r="R1" s="10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Sheet Planner</vt:lpstr>
      <vt:lpstr>User Preferences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2013-08-05T14:35:53Z</dcterms:modified>
</cp:coreProperties>
</file>