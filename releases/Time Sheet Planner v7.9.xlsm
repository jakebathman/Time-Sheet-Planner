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871"/>
  </bookViews>
  <sheets>
    <sheet name="Time Sheet Planner" sheetId="1832" r:id="rId1"/>
    <sheet name="Hidden Backup of Old Backup" sheetId="1836" state="veryHidden" r:id="rId2"/>
    <sheet name="Hidden Backup of Main" sheetId="1981" state="veryHidden" r:id="rId3"/>
    <sheet name="User Preferences" sheetId="5" r:id="rId4"/>
    <sheet name="Changelog" sheetId="8" r:id="rId5"/>
    <sheet name="PeopleSoft" sheetId="1709" r:id="rId6"/>
    <sheet name="References" sheetId="1983" r:id="rId7"/>
    <sheet name="Time Off Form" sheetId="1982" r:id="rId8"/>
  </sheets>
  <functionGroups builtInGroupCount="17"/>
  <calcPr calcId="145621"/>
</workbook>
</file>

<file path=xl/calcChain.xml><?xml version="1.0" encoding="utf-8"?>
<calcChain xmlns="http://schemas.openxmlformats.org/spreadsheetml/2006/main">
  <c r="M4" i="1832" l="1"/>
  <c r="H14" i="1832" l="1"/>
  <c r="I15" i="1832"/>
  <c r="I12" i="1832" s="1"/>
  <c r="I14" i="1832" l="1"/>
  <c r="I13" i="1832"/>
  <c r="H15" i="1832"/>
  <c r="H13" i="1832"/>
  <c r="H12" i="1832"/>
  <c r="L10" i="1832"/>
  <c r="L13" i="1832" s="1"/>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<sst xmlns="http://schemas.openxmlformats.org/spreadsheetml/2006/main" count="213" uniqueCount="155">
  <si>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</si>
  <si>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</si>
  <si>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</si>
  <si>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</si>
  <si>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</si>
  <si>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</si>
  <si>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</si>
  <si>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</si>
  <si>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</si>
  <si>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</si>
  <si>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</si>
  <si>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</si>
  <si>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</si>
  <si>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</si>
  <si>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</si>
  <si>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</si>
  <si>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</si>
  <si>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</si>
  <si>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</si>
  <si>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</si>
  <si>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</si>
  <si>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</si>
  <si>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</si>
  <si>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</si>
  <si>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</si>
  <si>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</si>
  <si>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</si>
  <si>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</si>
  <si>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</si>
  <si>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</si>
  <si>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</si>
  <si>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</si>
  <si>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</si>
  <si>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</si>
  <si>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</si>
  <si>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</si>
  <si>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</si>
  <si>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</si>
  <si>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</si>
  <si>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</si>
  <si>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</si>
  <si>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</si>
  <si>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</si>
  <si>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</si>
  <si>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</si>
  <si>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</si>
  <si>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</si>
  <si>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</si>
  <si>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</si>
  <si>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</si>
  <si>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</si>
  <si>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</si>
  <si>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</si>
  <si>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</si>
  <si>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</si>
  <si>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</si>
  <si>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</si>
  <si>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</si>
  <si>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</si>
  <si>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</si>
  <si>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</si>
  <si>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</si>
  <si>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</si>
  <si>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</si>
  <si>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</si>
  <si>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</si>
  <si>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</si>
  <si>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</si>
  <si>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</si>
  <si>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</si>
  <si>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</si>
  <si>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</si>
  <si>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</si>
  <si>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</si>
  <si>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</si>
  <si>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</si>
  <si>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</si>
  <si>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</si>
  <si>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</si>
  <si>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</si>
  <si>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</si>
  <si>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</si>
  <si>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</si>
  <si>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</si>
  <si>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</si>
  <si>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</si>
  <si>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</si>
  <si>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</si>
  <si>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</si>
  <si>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</si>
  <si>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</si>
  <si>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</si>
  <si>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</si>
  <si>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</si>
  <si>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</si>
  <si>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</si>
  <si>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</si>
  <si>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</si>
  <si>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</si>
  <si>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</si>
  <si>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</si>
  <si>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</si>
  <si>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</si>
  <si>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</si>
  <si>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</si>
  <si>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</si>
  <si>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</si>
  <si>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</si>
  <si>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</si>
  <si>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</si>
  <si>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</si>
  <si>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</si>
  <si>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</si>
  <si>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</si>
  <si>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</si>
  <si>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</si>
  <si>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</si>
  <si>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</si>
  <si>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</si>
  <si>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</si>
  <si>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</si>
  <si>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</si>
  <si>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</si>
  <si>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</si>
  <si>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</si>
  <si>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</si>
  <si>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</si>
  <si>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</si>
  <si>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</si>
  <si>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</si>
  <si>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Rebecca Drekmann</t>
  </si>
  <si>
    <t>Jake Bathman</t>
  </si>
  <si>
    <t>Steve Wasserman</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</si>
  <si>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</si>
  <si>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</si>
  <si>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</si>
  <si>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</si>
  <si>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</si>
  <si>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</si>
  <si>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</si>
  <si>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</si>
  <si>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</si>
  <si>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</si>
  <si>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</si>
  <si>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</si>
  <si>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</si>
  <si>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</si>
  <si>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</si>
  <si>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</si>
  <si>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</si>
  <si>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</si>
  <si>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</si>
  <si>
    <t>Greg Huffman</t>
  </si>
  <si>
    <t>x</t>
  </si>
  <si>
    <t>Ashleigh Feryan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</si>
</sst>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solid">
        <fgColor theme="1" tint="0.34998626667073579"/>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167" fontId="11" fillId="0" borderId="7" xfId="0" applyNumberFormat="1" applyFont="1" applyBorder="1" applyAlignment="1">
      <alignment horizontal="center" vertical="center"/>
    </xf>
    <xf numFmtId="0" fontId="1" fillId="6" borderId="0" xfId="0" applyFont="1" applyFill="1" applyAlignment="1" applyProtection="1">
      <alignment horizontal="right" vertical="center"/>
    </xf>
    <xf numFmtId="0" fontId="0" fillId="6" borderId="0" xfId="0" applyFill="1" applyAlignment="1" applyProtection="1">
      <alignment horizontal="right" vertical="center"/>
    </xf>
    <xf numFmtId="0" fontId="0" fillId="6" borderId="0" xfId="0" applyFill="1" applyProtection="1">
      <alignment vertical="center"/>
    </xf>
    <xf numFmtId="0" fontId="0" fillId="6" borderId="0" xfId="0" applyFill="1" applyAlignment="1" applyProtection="1">
      <alignment horizontal="center" vertical="center"/>
    </xf>
    <xf numFmtId="0" fontId="0" fillId="7" borderId="0" xfId="0" applyFill="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cellXfs>
  <cellStyles count="3">
    <cellStyle name="Comma" xfId="1" builtinId="3"/>
    <cellStyle name="Hyperlink" xfId="2" builtinId="8"/>
    <cellStyle name="Normal" xfId="0" builtinId="0"/>
  </cellStyles>
  <dxfs count="36">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9.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10</xdr:row>
          <xdr:rowOff>161925</xdr:rowOff>
        </xdr:from>
        <xdr:to>
          <xdr:col>8</xdr:col>
          <xdr:colOff>466725</xdr:colOff>
          <xdr:row>10</xdr:row>
          <xdr:rowOff>638175</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685800</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akebathman/Time-Sheet-Planner" TargetMode="Externa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9.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image" Target="../media/image7.emf"/><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6.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ntrol" Target="../activeX/activeX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138</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37"/>
      <c r="G4" s="37"/>
      <c r="H4" s="30"/>
      <c r="I4" s="30"/>
      <c r="J4" s="32"/>
      <c r="K4" s="38"/>
      <c r="L4" s="79"/>
      <c r="M4" s="34" t="str">
        <f t="shared" si="0"/>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IF(SUMIF(H3:H9,"=PTO",I3:I9)&gt;0,SUMIF(H3:H9,"=PTO",I3:I9),IF(AND(SUM(I3:I9)&gt;0,I15&gt;0,I15&lt;&gt;""),"?",""))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IF(SUMIF(H3:H9,"=Comp",I3:I9)&gt;0,SUMIF(H3:H9,"=Comp",I3:I9),IF(AND(SUM(I3:I9)&gt;0,I15&gt;0,I15&lt;&gt;""),"?",""))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IF(SUMIF(H3:H9,"=Holiday",I3:I9)&gt;0,SUMIF(H3:H9,"=Holiday",I3:I9),IF(AND(SUM(I3:I9)&gt;0,I15&gt;0,I15&lt;&gt;""),"?",""))</f>
        <v/>
      </c>
      <c r="L14" s="3"/>
      <c r="M14" s="4"/>
    </row>
    <row r="15" spans="1:14" x14ac:dyDescent="0.2">
      <c r="B15" s="67"/>
      <c r="G15" s="14"/>
      <c r="H15" s="113" t="str">
        <f>IF(AND(SUM(I3:I9)&gt;0,I15&gt;0,I15&lt;&gt;""),"Other:","")</f>
        <v/>
      </c>
      <c r="I15" s="114"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5" priority="19" stopIfTrue="1" operator="notEqual">
      <formula>""</formula>
    </cfRule>
  </conditionalFormatting>
  <conditionalFormatting sqref="A19:B19">
    <cfRule type="cellIs" dxfId="34" priority="18" stopIfTrue="1" operator="notEqual">
      <formula>""</formula>
    </cfRule>
  </conditionalFormatting>
  <conditionalFormatting sqref="I3:J7">
    <cfRule type="containsBlanks" dxfId="33" priority="20" stopIfTrue="1">
      <formula>LEN(TRIM(I3))=0</formula>
    </cfRule>
  </conditionalFormatting>
  <conditionalFormatting sqref="F3:G7">
    <cfRule type="containsBlanks" dxfId="32" priority="17" stopIfTrue="1">
      <formula>LEN(TRIM(F3))=0</formula>
    </cfRule>
  </conditionalFormatting>
  <conditionalFormatting sqref="I9:J9">
    <cfRule type="containsBlanks" dxfId="31" priority="15" stopIfTrue="1">
      <formula>LEN(TRIM(I9))=0</formula>
    </cfRule>
  </conditionalFormatting>
  <conditionalFormatting sqref="B9:G9">
    <cfRule type="containsBlanks" dxfId="30" priority="14" stopIfTrue="1">
      <formula>LEN(TRIM(B9))=0</formula>
    </cfRule>
  </conditionalFormatting>
  <conditionalFormatting sqref="I8:J8">
    <cfRule type="containsBlanks" dxfId="29" priority="13" stopIfTrue="1">
      <formula>LEN(TRIM(I8))=0</formula>
    </cfRule>
  </conditionalFormatting>
  <conditionalFormatting sqref="B8:G8">
    <cfRule type="containsBlanks" dxfId="28" priority="12" stopIfTrue="1">
      <formula>LEN(TRIM(B8))=0</formula>
    </cfRule>
  </conditionalFormatting>
  <conditionalFormatting sqref="H3">
    <cfRule type="containsBlanks" dxfId="27" priority="10" stopIfTrue="1">
      <formula>LEN(TRIM(H3))=0</formula>
    </cfRule>
  </conditionalFormatting>
  <conditionalFormatting sqref="H4:H7">
    <cfRule type="containsBlanks" dxfId="26" priority="9" stopIfTrue="1">
      <formula>LEN(TRIM(H4))=0</formula>
    </cfRule>
  </conditionalFormatting>
  <conditionalFormatting sqref="H8">
    <cfRule type="containsBlanks" dxfId="25" priority="8" stopIfTrue="1">
      <formula>LEN(TRIM(H8))=0</formula>
    </cfRule>
  </conditionalFormatting>
  <conditionalFormatting sqref="H9">
    <cfRule type="containsBlanks" dxfId="24" priority="7" stopIfTrue="1">
      <formula>LEN(TRIM(H9))=0</formula>
    </cfRule>
  </conditionalFormatting>
  <conditionalFormatting sqref="B3:E7">
    <cfRule type="containsBlanks" dxfId="23" priority="4" stopIfTrue="1">
      <formula>LEN(TRIM(B3))=0</formula>
    </cfRule>
  </conditionalFormatting>
  <conditionalFormatting sqref="D3">
    <cfRule type="containsBlanks" dxfId="22" priority="3" stopIfTrue="1">
      <formula>LEN(TRIM(D3))=0</formula>
    </cfRule>
  </conditionalFormatting>
  <conditionalFormatting sqref="B7:E7">
    <cfRule type="containsBlanks" dxfId="21" priority="2" stopIfTrue="1">
      <formula>LEN(TRIM(B7))=0</formula>
    </cfRule>
  </conditionalFormatting>
  <conditionalFormatting sqref="B6:E6">
    <cfRule type="containsBlanks" dxfId="20" priority="1" stopIfTrue="1">
      <formula>LEN(TRIM(B6))=0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8" r:id="rId4" name="btnCreateCompForm">
          <controlPr autoLine="0" r:id="rId5">
            <anchor moveWithCells="1">
              <from>
                <xdr:col>5</xdr:col>
                <xdr:colOff>76200</xdr:colOff>
                <xdr:row>10</xdr:row>
                <xdr:rowOff>161925</xdr:rowOff>
              </from>
              <to>
                <xdr:col>8</xdr:col>
                <xdr:colOff>466725</xdr:colOff>
                <xdr:row>10</xdr:row>
                <xdr:rowOff>638175</xdr:rowOff>
              </to>
            </anchor>
          </controlPr>
        </control>
      </mc:Choice>
      <mc:Fallback>
        <control shapeId="1189908" r:id="rId4" name="btnCreateCompForm"/>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19050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5" r:id="rId8" name="btnCreateTimeOffSheet">
          <controlPr autoLine="0" r:id="rId9">
            <anchor moveWithCells="1">
              <from>
                <xdr:col>5</xdr:col>
                <xdr:colOff>76200</xdr:colOff>
                <xdr:row>10</xdr:row>
                <xdr:rowOff>200025</xdr:rowOff>
              </from>
              <to>
                <xdr:col>6</xdr:col>
                <xdr:colOff>685800</xdr:colOff>
                <xdr:row>10</xdr:row>
                <xdr:rowOff>600075</xdr:rowOff>
              </to>
            </anchor>
          </controlPr>
        </control>
      </mc:Choice>
      <mc:Fallback>
        <control shapeId="1189905" r:id="rId8" name="btnCreateTimeOffSheet"/>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3" t="str">
        <f>IF(K15&gt;=B1,"",IF(AND(COUNTIF(K3:K11,"&gt;=4")=4,COUNTIF(B9:B12,"&gt;0")&gt;2),CONCATENATE("Trying to hit ",B1," hours exactly? Estimate your final punch below"),""))</f>
        <v/>
      </c>
      <c r="B19" s="124"/>
      <c r="C19" s="124"/>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3" t="str">
        <f>IF(K15&gt;=B1,"",IF(AND(COUNTIF(K3:K11,"&gt;=4")=4,COUNTIF(B9:B12,"&gt;0")&gt;2),CONCATENATE("Trying to hit ",B1," hours exactly? Estimate your final punch below"),""))</f>
        <v/>
      </c>
      <c r="B19" s="124"/>
      <c r="C19" s="124"/>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10" sqref="C10"/>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153</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7" t="s">
        <v>149</v>
      </c>
      <c r="B17" s="118" t="s">
        <v>147</v>
      </c>
      <c r="C17" s="119"/>
    </row>
    <row r="18" spans="1:3" x14ac:dyDescent="0.2">
      <c r="A18" s="120" t="s">
        <v>150</v>
      </c>
      <c r="B18" s="118" t="s">
        <v>148</v>
      </c>
      <c r="C18" s="119" t="s">
        <v>48</v>
      </c>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9" t="s">
        <v>26</v>
      </c>
      <c r="B1" s="129"/>
      <c r="C1" s="129"/>
      <c r="D1" s="129"/>
      <c r="E1" s="129"/>
      <c r="N1" s="130" t="s">
        <v>39</v>
      </c>
      <c r="O1" s="130"/>
      <c r="P1" s="130"/>
      <c r="Q1" s="130"/>
      <c r="R1" s="130"/>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D2" sqref="D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137</v>
      </c>
      <c r="B1" t="s">
        <v>140</v>
      </c>
      <c r="C1" t="s">
        <v>145</v>
      </c>
      <c r="D1" t="s">
        <v>146</v>
      </c>
    </row>
    <row r="2" spans="1:4" x14ac:dyDescent="0.2">
      <c r="A2" t="s">
        <v>144</v>
      </c>
      <c r="B2" t="s">
        <v>143</v>
      </c>
    </row>
    <row r="3" spans="1:4" x14ac:dyDescent="0.2">
      <c r="A3" t="s">
        <v>129</v>
      </c>
      <c r="B3" t="s">
        <v>141</v>
      </c>
    </row>
    <row r="4" spans="1:4" x14ac:dyDescent="0.2">
      <c r="A4" t="s">
        <v>154</v>
      </c>
      <c r="B4" t="s">
        <v>142</v>
      </c>
    </row>
    <row r="5" spans="1:4" x14ac:dyDescent="0.2">
      <c r="A5" t="s">
        <v>152</v>
      </c>
      <c r="B5" t="s">
        <v>139</v>
      </c>
    </row>
    <row r="6" spans="1:4" x14ac:dyDescent="0.2">
      <c r="A6" t="s">
        <v>131</v>
      </c>
    </row>
    <row r="7" spans="1:4" x14ac:dyDescent="0.2">
      <c r="A7" t="s">
        <v>136</v>
      </c>
    </row>
    <row r="8" spans="1:4" x14ac:dyDescent="0.2">
      <c r="A8" t="s">
        <v>151</v>
      </c>
    </row>
    <row r="9" spans="1:4" x14ac:dyDescent="0.2">
      <c r="A9" t="s">
        <v>135</v>
      </c>
    </row>
    <row r="10" spans="1:4" x14ac:dyDescent="0.2">
      <c r="A10" t="s">
        <v>134</v>
      </c>
    </row>
    <row r="11" spans="1:4" x14ac:dyDescent="0.2">
      <c r="A11" t="s">
        <v>133</v>
      </c>
    </row>
    <row r="12" spans="1:4" x14ac:dyDescent="0.2">
      <c r="A12" t="s">
        <v>130</v>
      </c>
    </row>
    <row r="13" spans="1:4" x14ac:dyDescent="0.2">
      <c r="A13" t="s">
        <v>132</v>
      </c>
    </row>
  </sheetData>
  <sortState ref="A3:A13">
    <sortCondition ref="A13"/>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154</v>
      </c>
      <c r="D2" s="102"/>
      <c r="E2" s="100"/>
      <c r="F2" s="100" t="s">
        <v>112</v>
      </c>
      <c r="G2" s="100"/>
      <c r="H2" s="108">
        <v>41985</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6"/>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21"/>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21"/>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21"/>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21"/>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31"/>
      <c r="B24" s="131"/>
      <c r="C24" s="131"/>
      <c r="D24" s="131"/>
      <c r="E24" s="131"/>
      <c r="F24" s="131"/>
      <c r="G24" s="131"/>
      <c r="H24" s="131"/>
      <c r="I24" s="131"/>
      <c r="J24" s="105"/>
    </row>
    <row r="25" spans="1:10" ht="11.25" customHeight="1" x14ac:dyDescent="0.2">
      <c r="A25" s="106"/>
      <c r="B25" s="106"/>
      <c r="C25" s="106"/>
      <c r="D25" s="106"/>
      <c r="E25" s="106"/>
      <c r="F25" s="106"/>
      <c r="G25" s="106"/>
      <c r="H25" s="106"/>
      <c r="I25" s="106"/>
      <c r="J25" s="106"/>
    </row>
    <row r="26" spans="1:10" ht="15.75" x14ac:dyDescent="0.25">
      <c r="A26" s="132"/>
      <c r="B26" s="132"/>
      <c r="C26" s="132"/>
      <c r="D26" s="132"/>
      <c r="E26" s="132"/>
      <c r="F26" s="132"/>
      <c r="G26" s="132"/>
      <c r="H26" s="132"/>
      <c r="I26" s="132"/>
      <c r="J26" s="105"/>
    </row>
    <row r="27" spans="1:10" ht="11.25" customHeight="1" x14ac:dyDescent="0.2">
      <c r="A27" s="106"/>
      <c r="B27" s="106"/>
      <c r="C27" s="106"/>
      <c r="D27" s="106"/>
      <c r="E27" s="106"/>
      <c r="F27" s="106"/>
      <c r="G27" s="106"/>
      <c r="H27" s="106"/>
      <c r="I27" s="106"/>
      <c r="J27" s="106"/>
    </row>
    <row r="28" spans="1:10" ht="15.75" x14ac:dyDescent="0.25">
      <c r="A28" s="132"/>
      <c r="B28" s="132"/>
      <c r="C28" s="132"/>
      <c r="D28" s="132"/>
      <c r="E28" s="132"/>
      <c r="F28" s="132"/>
      <c r="G28" s="132"/>
      <c r="H28" s="132"/>
      <c r="I28" s="132"/>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3"/>
      <c r="E32" s="133"/>
      <c r="F32" s="133"/>
      <c r="G32" s="133"/>
      <c r="H32" s="133"/>
      <c r="I32" s="133"/>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3"/>
      <c r="E35" s="133"/>
      <c r="F35" s="133"/>
      <c r="G35" s="133"/>
      <c r="H35" s="133"/>
      <c r="I35" s="133"/>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428625</xdr:colOff>
                <xdr:row>1</xdr:row>
                <xdr:rowOff>180975</xdr:rowOff>
              </from>
              <to>
                <xdr:col>12</xdr:col>
                <xdr:colOff>485775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3"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371475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User Preferences</vt:lpstr>
      <vt:lpstr>Changelog</vt:lpstr>
      <vt:lpstr>PeopleSoft</vt:lpstr>
      <vt:lpstr>References</vt:lpstr>
      <vt:lpstr>Time Off Form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Jacob Bathman</cp:lastModifiedBy>
  <cp:lastPrinted>2014-11-24T18:23:50Z</cp:lastPrinted>
  <dcterms:created xsi:type="dcterms:W3CDTF">2011-08-11T20:04:03Z</dcterms:created>
  <dcterms:modified xsi:type="dcterms:W3CDTF">2015-03-03T15:52:47Z</dcterms:modified>
</cp:coreProperties>
</file>