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60" windowWidth="14115" windowHeight="8430" tabRatio="871" activeTab="3"/>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5" i="1832" l="1"/>
  <c r="I16" i="1832"/>
  <c r="I15" i="1832" s="1"/>
  <c r="L10" i="1832"/>
  <c r="L11" i="1832" s="1"/>
  <c r="H16" i="1832" l="1"/>
  <c r="I14" i="1832"/>
  <c r="I13" i="1832"/>
  <c r="I12" i="1832"/>
  <c r="L13" i="1832"/>
  <c r="M4" i="1832"/>
  <c r="H14" i="1832" l="1"/>
  <c r="H13" i="1832" l="1"/>
  <c r="H12" i="1832"/>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K16" i="1836" l="1"/>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<sst xmlns="http://schemas.openxmlformats.org/spreadsheetml/2006/main" count="213" uniqueCount="155">
  <si>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</si>
  <si>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</si>
  <si>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</si>
  <si>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</si>
  <si>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</si>
  <si>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</si>
  <si>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</si>
  <si>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</si>
  <si>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</si>
  <si>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</si>
  <si>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</si>
  <si>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</si>
  <si>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</si>
  <si>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</si>
  <si>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</si>
  <si>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</si>
  <si>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</si>
  <si>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</si>
  <si>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</si>
  <si>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</si>
  <si>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</si>
  <si>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</si>
  <si>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</si>
  <si>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</si>
  <si>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</si>
  <si>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</si>
  <si>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</si>
  <si>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</si>
  <si>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</si>
  <si>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</si>
  <si>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</si>
  <si>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</si>
  <si>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</si>
  <si>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</si>
  <si>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</si>
  <si>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</si>
  <si>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</si>
  <si>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</si>
  <si>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</si>
  <si>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</si>
  <si>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</si>
  <si>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</si>
  <si>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</si>
  <si>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</si>
  <si>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</si>
  <si>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</si>
  <si>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</si>
  <si>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</si>
  <si>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</si>
  <si>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</si>
  <si>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</si>
  <si>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</si>
  <si>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</si>
  <si>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</si>
  <si>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</si>
  <si>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</si>
  <si>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</si>
  <si>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</si>
  <si>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</si>
  <si>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</si>
  <si>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</si>
  <si>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</si>
  <si>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</si>
  <si>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</si>
  <si>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</si>
  <si>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</si>
  <si>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</si>
  <si>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</si>
  <si>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</si>
  <si>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</si>
  <si>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</si>
  <si>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</si>
  <si>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</si>
  <si>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</si>
  <si>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</si>
  <si>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</si>
  <si>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</si>
  <si>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</si>
  <si>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</si>
  <si>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</si>
  <si>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</si>
  <si>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</si>
  <si>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</si>
  <si>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</si>
  <si>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</si>
  <si>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</si>
  <si>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</si>
  <si>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</si>
  <si>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</si>
  <si>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</si>
  <si>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</si>
  <si>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</si>
  <si>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</si>
  <si>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</si>
  <si>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</si>
  <si>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</si>
  <si>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</si>
  <si>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</si>
  <si>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</si>
  <si>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</si>
  <si>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</si>
  <si>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</si>
  <si>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</si>
  <si>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</si>
  <si>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</si>
  <si>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</si>
  <si>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</si>
  <si>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</si>
  <si>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</si>
  <si>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</si>
  <si>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</si>
  <si>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</si>
  <si>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</si>
  <si>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</si>
  <si>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</si>
  <si>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</si>
  <si>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</si>
  <si>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</si>
  <si>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</si>
  <si>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</si>
  <si>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</si>
  <si>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</si>
  <si>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</si>
  <si>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</si>
  <si>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</si>
  <si>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</si>
  <si>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</si>
  <si>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</si>
  <si>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</si>
  <si>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</si>
  <si>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</si>
  <si>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</si>
  <si>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</si>
  <si>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</si>
  <si>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</si>
  <si>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</si>
  <si>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</si>
  <si>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</si>
  <si>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</si>
  <si>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</si>
  <si>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</si>
  <si>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</si>
  <si>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</si>
  <si>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</si>
  <si>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</si>
  <si>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</si>
  <si>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</si>
  <si>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</si>
  <si>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</si>
  <si>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</si>
  <si>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</si>
  <si>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</si>
  <si>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</si>
  <si>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</si>
  <si>
    <t>Closure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</si>
</sst>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0" fillId="7"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10</xdr:row>
          <xdr:rowOff>95250</xdr:rowOff>
        </xdr:from>
        <xdr:to>
          <xdr:col>8</xdr:col>
          <xdr:colOff>447675</xdr:colOff>
          <xdr:row>10</xdr:row>
          <xdr:rowOff>647700</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209550</xdr:rowOff>
        </xdr:from>
        <xdr:to>
          <xdr:col>6</xdr:col>
          <xdr:colOff>704850</xdr:colOff>
          <xdr:row>10</xdr:row>
          <xdr:rowOff>609600</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137</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IF(SUMIF(H3:H9,"=PTO",I3:I9)&gt;0,SUMIF(H3:H9,"=PTO",I3:I9),IF(AND(SUM(I3:I9)&gt;0,I16&gt;0,I16&lt;&gt;""),"?",""))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IF(SUMIF(H3:H9,"=Comp",I3:I9)&gt;0,SUMIF(H3:H9,"=Comp",I3:I9),IF(AND(SUM(I3:I9)&gt;0,I16&gt;0,I16&lt;&gt;""),"?",""))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IF(SUMIF(H3:H9,"=Holiday",I3:I9)&gt;0,SUMIF(H3:H9,"=Holiday",I3:I9),IF(AND(SUM(I3:I9)&gt;0,I16&gt;0,I16&lt;&gt;""),"?",""))</f>
        <v/>
      </c>
      <c r="L14" s="3"/>
      <c r="M14" s="4"/>
    </row>
    <row r="15" spans="1:14" x14ac:dyDescent="0.2">
      <c r="B15" s="67"/>
      <c r="G15" s="14"/>
      <c r="H15" s="113" t="str">
        <f>IF(SUM(I3:I9)&gt;0,"Closure:","")</f>
        <v/>
      </c>
      <c r="I15" s="114" t="str">
        <f>IF(SUMIF(H3:H9,"=Closure",I3:I9)&gt;0,SUMIF(H3:H9,"=Closure",I3:I9),IF(AND(SUM(I3:I9)&gt;0,I16&gt;0,I16&lt;&gt;""),"?",""))</f>
        <v/>
      </c>
      <c r="L15" s="3"/>
      <c r="M15" s="4"/>
    </row>
    <row r="16" spans="1:14" x14ac:dyDescent="0.2">
      <c r="A16" s="1"/>
      <c r="B16" s="2"/>
      <c r="G16" s="14"/>
      <c r="H16" s="113" t="str">
        <f>IF(AND(SUM(I3:I9)&gt;0,I16&gt;0,I16&lt;&gt;""),"Other:","")</f>
        <v/>
      </c>
      <c r="I16" s="114" t="str">
        <f>IF(SUM(I3:I9)-SUMIF(H3:H9,"=PTO",I3:I9)-SUMIF(H3:H9,"=Comp",I3:I9)-SUMIF(H3:H9,"=Holiday",I3:I9)-SUMIF(H3:H9,"=Closure",I3:I9)&gt;0,SUM(I3:I9)-SUMIF(H3:H9,"=PTO",I3:I9)-SUMIF(H3:H9,"=Comp",I3:I9)-SUMIF(H3:H9,"=Holiday",I3:I9),"")</f>
        <v/>
      </c>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47625</xdr:colOff>
                <xdr:row>10</xdr:row>
                <xdr:rowOff>95250</xdr:rowOff>
              </from>
              <to>
                <xdr:col>8</xdr:col>
                <xdr:colOff>447675</xdr:colOff>
                <xdr:row>10</xdr:row>
                <xdr:rowOff>647700</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209550</xdr:rowOff>
              </from>
              <to>
                <xdr:col>6</xdr:col>
                <xdr:colOff>704850</xdr:colOff>
                <xdr:row>10</xdr:row>
                <xdr:rowOff>609600</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References!$B$2:$B$6</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tabSelected="1" zoomScaleNormal="100" workbookViewId="0">
      <selection activeCell="L11" sqref="L11"/>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143</v>
      </c>
      <c r="D2" s="102"/>
      <c r="E2" s="100"/>
      <c r="F2" s="100" t="s">
        <v>112</v>
      </c>
      <c r="G2" s="100"/>
      <c r="H2" s="108">
        <v>42066</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21"/>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21"/>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21"/>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21"/>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2"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152</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148</v>
      </c>
      <c r="B17" s="118" t="s">
        <v>146</v>
      </c>
      <c r="C17" s="119"/>
    </row>
    <row r="18" spans="1:3" x14ac:dyDescent="0.2">
      <c r="A18" s="120" t="s">
        <v>149</v>
      </c>
      <c r="B18" s="118" t="s">
        <v>147</v>
      </c>
      <c r="C18" s="119"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2"/>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136</v>
      </c>
      <c r="B1" t="s">
        <v>139</v>
      </c>
      <c r="C1" t="s">
        <v>144</v>
      </c>
      <c r="D1" t="s">
        <v>145</v>
      </c>
    </row>
    <row r="2" spans="1:4" x14ac:dyDescent="0.2">
      <c r="A2" t="s">
        <v>143</v>
      </c>
      <c r="B2" t="s">
        <v>142</v>
      </c>
      <c r="D2" t="b">
        <v>0</v>
      </c>
    </row>
    <row r="3" spans="1:4" x14ac:dyDescent="0.2">
      <c r="A3" t="s">
        <v>129</v>
      </c>
      <c r="B3" t="s">
        <v>140</v>
      </c>
    </row>
    <row r="4" spans="1:4" x14ac:dyDescent="0.2">
      <c r="A4" t="s">
        <v>153</v>
      </c>
      <c r="B4" t="s">
        <v>141</v>
      </c>
    </row>
    <row r="5" spans="1:4" x14ac:dyDescent="0.2">
      <c r="A5" t="s">
        <v>151</v>
      </c>
      <c r="B5" t="s">
        <v>138</v>
      </c>
    </row>
    <row r="6" spans="1:4" x14ac:dyDescent="0.2">
      <c r="A6" t="s">
        <v>131</v>
      </c>
      <c r="B6" t="s">
        <v>154</v>
      </c>
    </row>
    <row r="7" spans="1:4" x14ac:dyDescent="0.2">
      <c r="A7" t="s">
        <v>135</v>
      </c>
    </row>
    <row r="8" spans="1:4" x14ac:dyDescent="0.2">
      <c r="A8" t="s">
        <v>150</v>
      </c>
    </row>
    <row r="9" spans="1:4" x14ac:dyDescent="0.2">
      <c r="A9" t="s">
        <v>134</v>
      </c>
    </row>
    <row r="10" spans="1:4" x14ac:dyDescent="0.2">
      <c r="A10" t="s">
        <v>133</v>
      </c>
    </row>
    <row r="11" spans="1:4" x14ac:dyDescent="0.2">
      <c r="A11" t="s">
        <v>130</v>
      </c>
    </row>
    <row r="12" spans="1:4" x14ac:dyDescent="0.2">
      <c r="A12" t="s">
        <v>132</v>
      </c>
    </row>
  </sheetData>
  <sortState ref="A3:A13">
    <sortCondition ref="A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2015-03-02T15:44:05Z</cp:lastPrinted>
  <dcterms:created xsi:type="dcterms:W3CDTF">2011-08-11T20:04:03Z</dcterms:created>
  <dcterms:modified xsi:type="dcterms:W3CDTF">2015-03-03T18:53:21Z</dcterms:modified>
</cp:coreProperties>
</file>