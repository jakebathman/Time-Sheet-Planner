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I14" i="1832" l="1"/>
  <c r="H14" i="1832" s="1"/>
  <c r="H13" i="1832"/>
  <c r="H12" i="1832"/>
  <c r="M4" i="1832"/>
  <c r="L10" i="1832"/>
  <c r="I12" i="1832" l="1"/>
  <c r="I13" i="1832"/>
  <c r="H11" i="1832"/>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<sst xmlns="http://schemas.openxmlformats.org/spreadsheetml/2006/main" count="201" uniqueCount="143">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</sst>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140625" customWidth="1"/>
    <col min="9" max="9" width="7.710937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5" t="str">
        <f>IF(SUM(I3:I9)&gt;0,"PTO:","")</f>
        <v/>
      </c>
      <c r="I12" s="116" t="str">
        <f>IF(SUMIF(H3:H9,"=PTO",I3:I9)&gt;0,SUMIF(H3:H9,"=PTO",I3:I9),IF(AND(SUM(I3:I9)&gt;0,I14&gt;0),"?",""))</f>
        <v/>
      </c>
      <c r="J12" s="5"/>
      <c r="K12" s="5"/>
      <c r="L12" s="3" t="str">
        <f>IF(SUM(I3:I9)&gt;=(B1*0.8),"Vacation week, huh?","")</f>
        <v/>
      </c>
      <c r="M12" s="4"/>
    </row>
    <row r="13" spans="1:14" x14ac:dyDescent="0.2">
      <c r="B13" s="89"/>
      <c r="C13" s="6"/>
      <c r="D13" s="6"/>
      <c r="E13" s="6"/>
      <c r="F13" s="67"/>
      <c r="G13" s="90"/>
      <c r="H13" s="115" t="str">
        <f>IF(SUM(I3:I9)&gt;0,"Comp:","")</f>
        <v/>
      </c>
      <c r="I13" s="117" t="str">
        <f>IF(SUMIF(H3:H9,"=Comp",I3:I9)&gt;0,SUMIF(H3:H9,"=Comp",I3:I9),IF(AND(SUM(I3:I9)&gt;0,I14&gt;0),"?",""))</f>
        <v/>
      </c>
      <c r="L13" s="13" t="str">
        <f>IF(OR(L10=0,L10&gt;=B1),"",IF(ISBLANK(B7)=FALSE,"",CONCATENATE("On track for ~", ((COUNTBLANK(L3:L7)-4)*MROUND(AVERAGE(L3:L7),0.25))+L10," hrs. total")))</f>
        <v/>
      </c>
      <c r="M13" s="19"/>
    </row>
    <row r="14" spans="1:14" x14ac:dyDescent="0.2">
      <c r="A14" s="91"/>
      <c r="B14" s="92"/>
      <c r="C14" s="92"/>
      <c r="D14" s="71"/>
      <c r="G14" s="14"/>
      <c r="H14" s="115" t="str">
        <f>IF(AND(SUM(I3:I9)&gt;0,I14&gt;0,I14&lt;&gt;""),"Other:","")</f>
        <v/>
      </c>
      <c r="I14" s="116" t="str">
        <f>IF(SUM(I3:I9)-SUMIF(H3:H9,"=PTO",I3:I9)-SUMIF(H3:H9,"=Comp",I3:I9)&gt;0,SUM(I3:I9)-SUMIF(H3:H9,"=PTO",I3:I9)-SUMIF(H3:H9,"=Comp",I3:I9),"")</f>
        <v/>
      </c>
      <c r="L14" s="3"/>
      <c r="M14" s="4"/>
    </row>
    <row r="15" spans="1:14" x14ac:dyDescent="0.2">
      <c r="B15" s="67"/>
      <c r="G15" s="14"/>
      <c r="H15" s="14"/>
      <c r="I15" s="15"/>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7" sqref="D7"/>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0.79166666666666663</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5" r:id="rId4" name="btnPrintTimeOffForm">
          <controlPr print="0" autoLine="0" r:id="rId5">
            <anchor moveWithCells="1">
              <from>
                <xdr:col>8</xdr:col>
                <xdr:colOff>95250</xdr:colOff>
                <xdr:row>1</xdr:row>
                <xdr:rowOff>28575</xdr:rowOff>
              </from>
              <to>
                <xdr:col>11</xdr:col>
                <xdr:colOff>28575</xdr:colOff>
                <xdr:row>6</xdr:row>
                <xdr:rowOff>85725</xdr:rowOff>
              </to>
            </anchor>
          </controlPr>
        </control>
      </mc:Choice>
      <mc:Fallback>
        <control shapeId="1397775" r:id="rId4" name="btnPrintTimeOffForm"/>
      </mc:Fallback>
    </mc:AlternateContent>
    <mc:AlternateContent xmlns:mc="http://schemas.openxmlformats.org/markup-compatibility/2006">
      <mc:Choice Requires="x14">
        <control shapeId="1397761" r:id="rId6" name="chkPTO">
          <controlPr autoFill="0" autoLine="0" r:id="rId7">
            <anchor moveWithCells="1">
              <from>
                <xdr:col>1</xdr:col>
                <xdr:colOff>381000</xdr:colOff>
                <xdr:row>8</xdr:row>
                <xdr:rowOff>190500</xdr:rowOff>
              </from>
              <to>
                <xdr:col>2</xdr:col>
                <xdr:colOff>0</xdr:colOff>
                <xdr:row>10</xdr:row>
                <xdr:rowOff>57150</xdr:rowOff>
              </to>
            </anchor>
          </controlPr>
        </control>
      </mc:Choice>
      <mc:Fallback>
        <control shapeId="1397761" r:id="rId6" name="chkPTO"/>
      </mc:Fallback>
    </mc:AlternateContent>
    <mc:AlternateContent xmlns:mc="http://schemas.openxmlformats.org/markup-compatibility/2006">
      <mc:Choice Requires="x14">
        <control shapeId="1397762" r:id="rId8" name="chkCat">
          <controlPr autoFill="0" autoLine="0" r:id="rId7">
            <anchor moveWithCells="1">
              <from>
                <xdr:col>1</xdr:col>
                <xdr:colOff>381000</xdr:colOff>
                <xdr:row>10</xdr:row>
                <xdr:rowOff>190500</xdr:rowOff>
              </from>
              <to>
                <xdr:col>2</xdr:col>
                <xdr:colOff>0</xdr:colOff>
                <xdr:row>12</xdr:row>
                <xdr:rowOff>57150</xdr:rowOff>
              </to>
            </anchor>
          </controlPr>
        </control>
      </mc:Choice>
      <mc:Fallback>
        <control shapeId="1397762" r:id="rId8" name="chkCat"/>
      </mc:Fallback>
    </mc:AlternateContent>
    <mc:AlternateContent xmlns:mc="http://schemas.openxmlformats.org/markup-compatibility/2006">
      <mc:Choice Requires="x14">
        <control shapeId="1397763" r:id="rId9" name="chkComp">
          <controlPr autoFill="0" autoLine="0" r:id="rId7">
            <anchor moveWithCells="1">
              <from>
                <xdr:col>1</xdr:col>
                <xdr:colOff>381000</xdr:colOff>
                <xdr:row>17</xdr:row>
                <xdr:rowOff>171450</xdr:rowOff>
              </from>
              <to>
                <xdr:col>2</xdr:col>
                <xdr:colOff>0</xdr:colOff>
                <xdr:row>19</xdr:row>
                <xdr:rowOff>38100</xdr:rowOff>
              </to>
            </anchor>
          </controlPr>
        </control>
      </mc:Choice>
      <mc:Fallback>
        <control shapeId="1397763" r:id="rId9" name="chkComp"/>
      </mc:Fallback>
    </mc:AlternateContent>
    <mc:AlternateContent xmlns:mc="http://schemas.openxmlformats.org/markup-compatibility/2006">
      <mc:Choice Requires="x14">
        <control shapeId="1397764" r:id="rId10" name="chkOther">
          <controlPr autoFill="0" autoLine="0" r:id="rId7">
            <anchor moveWithCells="1">
              <from>
                <xdr:col>1</xdr:col>
                <xdr:colOff>381000</xdr:colOff>
                <xdr:row>19</xdr:row>
                <xdr:rowOff>180975</xdr:rowOff>
              </from>
              <to>
                <xdr:col>2</xdr:col>
                <xdr:colOff>0</xdr:colOff>
                <xdr:row>21</xdr:row>
                <xdr:rowOff>47625</xdr:rowOff>
              </to>
            </anchor>
          </controlPr>
        </control>
      </mc:Choice>
      <mc:Fallback>
        <control shapeId="1397764" r:id="rId10" name="chkOther"/>
      </mc:Fallback>
    </mc:AlternateContent>
    <mc:AlternateContent xmlns:mc="http://schemas.openxmlformats.org/markup-compatibility/2006">
      <mc:Choice Requires="x14">
        <control shapeId="1397765" r:id="rId11" name="chkCompEarned">
          <controlPr autoFill="0" autoLine="0" r:id="rId7">
            <anchor moveWithCells="1">
              <from>
                <xdr:col>0</xdr:col>
                <xdr:colOff>381000</xdr:colOff>
                <xdr:row>30</xdr:row>
                <xdr:rowOff>180975</xdr:rowOff>
              </from>
              <to>
                <xdr:col>1</xdr:col>
                <xdr:colOff>0</xdr:colOff>
                <xdr:row>32</xdr:row>
                <xdr:rowOff>47625</xdr:rowOff>
              </to>
            </anchor>
          </controlPr>
        </control>
      </mc:Choice>
      <mc:Fallback>
        <control shapeId="1397765" r:id="rId11" name="chkCompEarned"/>
      </mc:Fallback>
    </mc:AlternateContent>
    <mc:AlternateContent xmlns:mc="http://schemas.openxmlformats.org/markup-compatibility/2006">
      <mc:Choice Requires="x14">
        <control shapeId="1397766" r:id="rId12" name="chkOvertimeEarned">
          <controlPr autoFill="0" autoLine="0" r:id="rId7">
            <anchor moveWithCells="1">
              <from>
                <xdr:col>0</xdr:col>
                <xdr:colOff>381000</xdr:colOff>
                <xdr:row>33</xdr:row>
                <xdr:rowOff>180975</xdr:rowOff>
              </from>
              <to>
                <xdr:col>1</xdr:col>
                <xdr:colOff>0</xdr:colOff>
                <xdr:row>35</xdr:row>
                <xdr:rowOff>47625</xdr:rowOff>
              </to>
            </anchor>
          </controlPr>
        </control>
      </mc:Choice>
      <mc:Fallback>
        <control shapeId="1397766" r:id="rId12" name="chkOvertimeEarned"/>
      </mc:Fallback>
    </mc:AlternateContent>
    <mc:AlternateContent xmlns:mc="http://schemas.openxmlformats.org/markup-compatibility/2006">
      <mc:Choice Requires="x14">
        <control shapeId="1397769" r:id="rId13" name="boxEmployeeName">
          <controlPr print="0" autoFill="0" autoLine="0" linkedCell="$C$2" listFillRange="References!$A$2:$A$13" r:id="rId14">
            <anchor moveWithCells="1">
              <from>
                <xdr:col>2</xdr:col>
                <xdr:colOff>0</xdr:colOff>
                <xdr:row>1</xdr:row>
                <xdr:rowOff>0</xdr:rowOff>
              </from>
              <to>
                <xdr:col>4</xdr:col>
                <xdr:colOff>0</xdr:colOff>
                <xdr:row>1</xdr:row>
                <xdr:rowOff>190500</xdr:rowOff>
              </to>
            </anchor>
          </controlPr>
        </control>
      </mc:Choice>
      <mc:Fallback>
        <control shapeId="1397769" r:id="rId13" name="boxEmployeeName"/>
      </mc:Fallback>
    </mc:AlternateContent>
    <mc:AlternateContent xmlns:mc="http://schemas.openxmlformats.org/markup-compatibility/2006">
      <mc:Choice Requires="x14">
        <control shapeId="1397777" r:id="rId15" name="lblPrintLabel">
          <controlPr print="0" autoLine="0" r:id="rId16">
            <anchor moveWithCells="1">
              <from>
                <xdr:col>11</xdr:col>
                <xdr:colOff>123825</xdr:colOff>
                <xdr:row>1</xdr:row>
                <xdr:rowOff>180975</xdr:rowOff>
              </from>
              <to>
                <xdr:col>12</xdr:col>
                <xdr:colOff>180975</xdr:colOff>
                <xdr:row>5</xdr:row>
                <xdr:rowOff>190500</xdr:rowOff>
              </to>
            </anchor>
          </controlPr>
        </control>
      </mc:Choice>
      <mc:Fallback>
        <control shapeId="1397777" r:id="rId15"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5" t="s">
        <v>26</v>
      </c>
      <c r="B1" s="125"/>
      <c r="C1" s="125"/>
      <c r="D1" s="125"/>
      <c r="E1" s="125"/>
      <c r="N1" s="126" t="s">
        <v>39</v>
      </c>
      <c r="O1" s="126"/>
      <c r="P1" s="126"/>
      <c r="Q1" s="126"/>
      <c r="R1" s="12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2013-09-04T20:37:03Z</dcterms:modified>
</cp:coreProperties>
</file>