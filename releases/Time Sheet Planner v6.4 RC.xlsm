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686" r:id="rId1"/>
    <sheet name="Hidden Backup of Old Backup" sheetId="1710" state="veryHidden" r:id="rId2"/>
    <sheet name="Hidden Backup of Main" sheetId="1749"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H21" i="1749" l="1"/>
  <c r="I21" i="1749" s="1"/>
  <c r="G21" i="1749"/>
  <c r="A19" i="1749"/>
  <c r="A21" i="1749" s="1"/>
  <c r="K17" i="1749"/>
  <c r="G17" i="1749"/>
  <c r="G20" i="1749" s="1"/>
  <c r="H20" i="1749" s="1"/>
  <c r="K16" i="1749"/>
  <c r="K15" i="1749"/>
  <c r="K18" i="1749" s="1"/>
  <c r="J14" i="1749"/>
  <c r="L13" i="1749"/>
  <c r="J13" i="1749"/>
  <c r="J12" i="1749"/>
  <c r="L11" i="1749"/>
  <c r="J11" i="1749"/>
  <c r="J10" i="1749"/>
  <c r="L9" i="1749"/>
  <c r="J9" i="1749"/>
  <c r="J8" i="1749"/>
  <c r="L7" i="1749"/>
  <c r="J7" i="1749"/>
  <c r="J6" i="1749"/>
  <c r="L5" i="1749"/>
  <c r="J5" i="1749"/>
  <c r="J4" i="1749"/>
  <c r="L3" i="1749"/>
  <c r="J3" i="1749"/>
  <c r="A22" i="1749" l="1"/>
  <c r="A23" i="1749" s="1"/>
  <c r="B21" i="1749"/>
  <c r="B22" i="1749" s="1"/>
  <c r="H17" i="1749"/>
  <c r="L16" i="1749" s="1"/>
  <c r="G18" i="1749"/>
  <c r="H18" i="1749" s="1"/>
  <c r="G19" i="1749"/>
  <c r="H19" i="1749" s="1"/>
  <c r="C23" i="1749" l="1"/>
  <c r="A24" i="1749"/>
  <c r="B24" i="1749" l="1"/>
  <c r="C24" i="1749"/>
  <c r="I21" i="1710" l="1"/>
  <c r="H21" i="1710"/>
  <c r="G21" i="1710"/>
  <c r="G20" i="1710"/>
  <c r="H20" i="1710" s="1"/>
  <c r="G19" i="1710"/>
  <c r="H19" i="1710" s="1"/>
  <c r="G18" i="1710"/>
  <c r="H18" i="1710" s="1"/>
  <c r="K17" i="1710"/>
  <c r="H17" i="1710"/>
  <c r="G17" i="1710"/>
  <c r="K15" i="1710"/>
  <c r="A19" i="1710" s="1"/>
  <c r="A21" i="1710" s="1"/>
  <c r="J14" i="1710"/>
  <c r="L13" i="1710"/>
  <c r="J13" i="1710"/>
  <c r="J12" i="1710"/>
  <c r="L11" i="1710"/>
  <c r="J11" i="1710"/>
  <c r="J10" i="1710"/>
  <c r="L9" i="1710"/>
  <c r="J9" i="1710"/>
  <c r="J8" i="1710"/>
  <c r="L7" i="1710"/>
  <c r="J7" i="1710"/>
  <c r="J6" i="1710"/>
  <c r="L5" i="1710"/>
  <c r="J5" i="1710"/>
  <c r="J4" i="1710"/>
  <c r="L3" i="1710"/>
  <c r="J3" i="1710"/>
  <c r="A22" i="1710" l="1"/>
  <c r="A23" i="1710" s="1"/>
  <c r="B21" i="1710"/>
  <c r="B22" i="1710" s="1"/>
  <c r="L16" i="1710"/>
  <c r="K18" i="1710"/>
  <c r="K16" i="1710"/>
  <c r="A24" i="1710" l="1"/>
  <c r="C23" i="1710"/>
  <c r="C24" i="1710" l="1"/>
  <c r="B24" i="1710"/>
  <c r="K17" i="1686"/>
  <c r="K15" i="1686"/>
  <c r="A19" i="1686" s="1"/>
  <c r="A21" i="1686" s="1"/>
  <c r="J14" i="1686"/>
  <c r="H21" i="1686"/>
  <c r="I21" i="1686" s="1"/>
  <c r="L13" i="1686"/>
  <c r="J13" i="1686"/>
  <c r="J12" i="1686"/>
  <c r="L11" i="1686"/>
  <c r="J11" i="1686"/>
  <c r="J10" i="1686"/>
  <c r="L9" i="1686"/>
  <c r="J9" i="1686"/>
  <c r="J8" i="1686"/>
  <c r="L7" i="1686"/>
  <c r="J7" i="1686"/>
  <c r="J6" i="1686"/>
  <c r="L5" i="1686"/>
  <c r="J5" i="1686"/>
  <c r="J4" i="1686"/>
  <c r="L3" i="1686"/>
  <c r="J3" i="1686"/>
  <c r="A22" i="1686" l="1"/>
  <c r="A23" i="1686" s="1"/>
  <c r="B21" i="1686"/>
  <c r="B22" i="1686" s="1"/>
  <c r="K18" i="1686"/>
  <c r="G21" i="1686"/>
  <c r="K16" i="1686"/>
  <c r="G17" i="1686"/>
  <c r="G20" i="1686" l="1"/>
  <c r="H20" i="1686" s="1"/>
  <c r="G19" i="1686"/>
  <c r="H19" i="1686" s="1"/>
  <c r="G18" i="1686"/>
  <c r="H18" i="1686" s="1"/>
  <c r="H17" i="1686"/>
  <c r="L16" i="1686" s="1"/>
  <c r="A24" i="1686"/>
  <c r="C23" i="1686"/>
  <c r="K17" i="1362"/>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 r="C24" i="1686" l="1"/>
  <c r="B24" i="1686"/>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<sst xmlns="http://schemas.openxmlformats.org/spreadsheetml/2006/main" count="185" uniqueCount="91">
  <si>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</si>
  <si>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</si>
  <si>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</si>
  <si>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</si>
  <si>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</si>
  <si>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</si>
  <si>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</si>
  <si>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</si>
  <si>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</si>
  <si>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</si>
  <si>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</si>
  <si>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</si>
  <si>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</si>
  <si>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</si>
  <si>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</si>
  <si>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</si>
  <si>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</si>
  <si>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</si>
  <si>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</si>
  <si>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</si>
  <si>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</si>
  <si>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</si>
  <si>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</si>
  <si>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</si>
  <si>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</si>
  <si>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</si>
  <si>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</si>
  <si>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</si>
  <si>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</si>
  <si>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</si>
  <si>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</si>
  <si>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</si>
  <si>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</si>
  <si>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</si>
  <si>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</si>
  <si>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</si>
  <si>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</si>
  <si>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</si>
  <si>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</si>
  <si>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</si>
  <si>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</si>
  <si>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</si>
  <si>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</si>
  <si>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</si>
  <si>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</si>
  <si>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</si>
  <si>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</si>
  <si>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</si>
  <si>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</si>
  <si>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</si>
  <si>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</si>
  <si>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</si>
  <si>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</si>
  <si>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</si>
  <si>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</si>
  <si>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</si>
  <si>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</si>
  <si>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</si>
  <si>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</si>
  <si>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</si>
  <si>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</si>
  <si>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</si>
  <si>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</si>
  <si>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</si>
  <si>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</si>
  <si>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</si>
  <si>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</si>
  <si>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</si>
  <si>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</si>
  <si>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</si>
  <si>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</si>
  <si>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</si>
  <si>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</si>
  <si>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</si>
  <si>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</si>
  <si>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</si>
  <si>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</si>
  <si>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</si>
  <si>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</si>
  <si>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</si>
  <si>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</si>
  <si>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</si>
  <si>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</si>
  <si>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</si>
  <si>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</si>
  <si>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</si>
  <si>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</si>
  <si>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</si>
  <si>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Added prompt on PeopleSoft Importer notifying user that it's currently broken</t>
  </si>
  <si>
    <t>v.6.4 RC (released 1/7/2013)</t>
  </si>
  <si>
    <t>Enter times in nearly any format (e.g. 1300, 13:00, 13.00, 13, and 1 (if entered after an earlier punch) will all conver to 1:00 PM)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</si>
</sst>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0"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06">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16">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971777" name="Button 1" hidden="1">
              <a:extLst>
                <a:ext uri="{63B3BB69-23CF-44E3-9099-C40C66FF867C}">
                  <a14:compatExt spid="_x0000_s9717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971778" name="Button 2" hidden="1">
              <a:extLst>
                <a:ext uri="{63B3BB69-23CF-44E3-9099-C40C66FF867C}">
                  <a14:compatExt spid="_x0000_s9717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971779" name="Button 3" hidden="1">
              <a:extLst>
                <a:ext uri="{63B3BB69-23CF-44E3-9099-C40C66FF867C}">
                  <a14:compatExt spid="_x0000_s9717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971780" name="Button 4" hidden="1">
              <a:extLst>
                <a:ext uri="{63B3BB69-23CF-44E3-9099-C40C66FF867C}">
                  <a14:compatExt spid="_x0000_s9717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971781" name="Button 5" hidden="1">
              <a:extLst>
                <a:ext uri="{63B3BB69-23CF-44E3-9099-C40C66FF867C}">
                  <a14:compatExt spid="_x0000_s9717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05569" name="Button 1" hidden="1">
              <a:extLst>
                <a:ext uri="{63B3BB69-23CF-44E3-9099-C40C66FF867C}">
                  <a14:compatExt spid="_x0000_s1005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05570" name="Button 2" hidden="1">
              <a:extLst>
                <a:ext uri="{63B3BB69-23CF-44E3-9099-C40C66FF867C}">
                  <a14:compatExt spid="_x0000_s10055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05571" name="Button 3" hidden="1">
              <a:extLst>
                <a:ext uri="{63B3BB69-23CF-44E3-9099-C40C66FF867C}">
                  <a14:compatExt spid="_x0000_s1005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05572" name="Button 4" hidden="1">
              <a:extLst>
                <a:ext uri="{63B3BB69-23CF-44E3-9099-C40C66FF867C}">
                  <a14:compatExt spid="_x0000_s10055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05573" name="Button 5" hidden="1">
              <a:extLst>
                <a:ext uri="{63B3BB69-23CF-44E3-9099-C40C66FF867C}">
                  <a14:compatExt spid="_x0000_s10055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69057" name="Button 1" hidden="1">
              <a:extLst>
                <a:ext uri="{63B3BB69-23CF-44E3-9099-C40C66FF867C}">
                  <a14:compatExt spid="_x0000_s1069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69058" name="Button 2" hidden="1">
              <a:extLst>
                <a:ext uri="{63B3BB69-23CF-44E3-9099-C40C66FF867C}">
                  <a14:compatExt spid="_x0000_s1069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69059" name="Button 3" hidden="1">
              <a:extLst>
                <a:ext uri="{63B3BB69-23CF-44E3-9099-C40C66FF867C}">
                  <a14:compatExt spid="_x0000_s1069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69060" name="Button 4" hidden="1">
              <a:extLst>
                <a:ext uri="{63B3BB69-23CF-44E3-9099-C40C66FF867C}">
                  <a14:compatExt spid="_x0000_s1069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69061" name="Button 5" hidden="1">
              <a:extLst>
                <a:ext uri="{63B3BB69-23CF-44E3-9099-C40C66FF867C}">
                  <a14:compatExt spid="_x0000_s1069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90</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5" priority="3" stopIfTrue="1" operator="notEqual">
      <formula>""</formula>
    </cfRule>
  </conditionalFormatting>
  <conditionalFormatting sqref="A24:B24">
    <cfRule type="cellIs" dxfId="14" priority="2" stopIfTrue="1" operator="notEqual">
      <formula>""</formula>
    </cfRule>
  </conditionalFormatting>
  <conditionalFormatting sqref="H3:I13">
    <cfRule type="containsBlanks" dxfId="13" priority="4" stopIfTrue="1">
      <formula>LEN(TRIM(H3))=0</formula>
    </cfRule>
  </conditionalFormatting>
  <conditionalFormatting sqref="B3:G13">
    <cfRule type="containsBlanks" dxfId="12"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97177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97177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97178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97178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Normal="100" workbookViewId="0">
      <selection activeCell="G9" sqref="G9"/>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1"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0.31180555555555556</v>
      </c>
      <c r="C3" s="31">
        <v>0.52152777777777781</v>
      </c>
      <c r="D3" s="31">
        <v>0.55347222222222225</v>
      </c>
      <c r="E3" s="31">
        <v>0.65347222222222223</v>
      </c>
      <c r="F3" s="75"/>
      <c r="G3" s="75"/>
      <c r="H3" s="32"/>
      <c r="I3" s="33"/>
      <c r="J3" s="34" t="str">
        <f>IF(OR(I3="comp",I3="cat",I3="pto",I3=""),"",I3)</f>
        <v/>
      </c>
      <c r="K3" s="35">
        <v>7.5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v>0.34583333333333333</v>
      </c>
      <c r="C5" s="47"/>
      <c r="D5" s="47"/>
      <c r="E5" s="82">
        <v>0.47083333333333338</v>
      </c>
      <c r="F5" s="47"/>
      <c r="G5" s="47"/>
      <c r="H5" s="40">
        <v>5.5</v>
      </c>
      <c r="I5" s="42"/>
      <c r="J5" s="48" t="str">
        <f t="shared" si="0"/>
        <v/>
      </c>
      <c r="K5" s="49">
        <v>8.5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xml:space="preserve"> You're over 8 hours and have entered time off. Are you sure?</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v>8</v>
      </c>
      <c r="I7" s="42"/>
      <c r="J7" s="48" t="str">
        <f t="shared" si="0"/>
        <v/>
      </c>
      <c r="K7" s="49">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v>8</v>
      </c>
      <c r="I9" s="42"/>
      <c r="J9" s="48" t="str">
        <f t="shared" si="0"/>
        <v/>
      </c>
      <c r="K9" s="49">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v>8</v>
      </c>
      <c r="I11" s="42"/>
      <c r="J11" s="48" t="str">
        <f t="shared" si="0"/>
        <v/>
      </c>
      <c r="K11" s="49">
        <v>8</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40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29.5 hours</v>
      </c>
      <c r="I17" s="7"/>
      <c r="J17" s="7"/>
      <c r="K17" s="4" t="str">
        <f>IF(SUM(H3:H13)&gt;=(B1*0.8),"Vacation week, huh?","")</f>
        <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2"/>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3"/>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1" priority="3" stopIfTrue="1" operator="notEqual">
      <formula>""</formula>
    </cfRule>
  </conditionalFormatting>
  <conditionalFormatting sqref="A24:B24">
    <cfRule type="cellIs" dxfId="10" priority="2" stopIfTrue="1" operator="notEqual">
      <formula>""</formula>
    </cfRule>
  </conditionalFormatting>
  <conditionalFormatting sqref="H3:I13">
    <cfRule type="containsBlanks" dxfId="9" priority="4" stopIfTrue="1">
      <formula>LEN(TRIM(H3))=0</formula>
    </cfRule>
  </conditionalFormatting>
  <conditionalFormatting sqref="B3:G13">
    <cfRule type="containsBlanks" dxfId="8"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0557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0557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0557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0557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M200"/>
  <sheetViews>
    <sheetView zoomScale="115" zoomScaleNormal="115" workbookViewId="0">
      <selection activeCell="A3" sqref="A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4" t="s">
        <v>90</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5"/>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6"/>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7" priority="3" stopIfTrue="1" operator="notEqual">
      <formula>""</formula>
    </cfRule>
  </conditionalFormatting>
  <conditionalFormatting sqref="A24:B24">
    <cfRule type="cellIs" dxfId="6" priority="2" stopIfTrue="1" operator="notEqual">
      <formula>""</formula>
    </cfRule>
  </conditionalFormatting>
  <conditionalFormatting sqref="H3:I13">
    <cfRule type="containsBlanks" dxfId="5" priority="4" stopIfTrue="1">
      <formula>LEN(TRIM(H3))=0</formula>
    </cfRule>
  </conditionalFormatting>
  <conditionalFormatting sqref="B3:G13">
    <cfRule type="containsBlanks" dxfId="4"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905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6905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6905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6906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6906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Trying to hit 40 hours exactly? Estimate your final punch below</v>
      </c>
      <c r="B19" s="99"/>
      <c r="C19" s="99"/>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1"/>
      <c r="E23" s="101"/>
      <c r="F23" s="101"/>
      <c r="G23" s="101"/>
      <c r="H23" s="101"/>
      <c r="I23" s="101"/>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54"/>
  <sheetViews>
    <sheetView topLeftCell="A19" workbookViewId="0">
      <selection activeCell="A51" sqref="A51:H52"/>
    </sheetView>
  </sheetViews>
  <sheetFormatPr defaultRowHeight="12.75" x14ac:dyDescent="0.2"/>
  <cols>
    <col min="1" max="1" width="5.7109375" customWidth="1"/>
  </cols>
  <sheetData>
    <row r="1" spans="1:18" x14ac:dyDescent="0.2">
      <c r="A1" s="104" t="s">
        <v>28</v>
      </c>
      <c r="B1" s="104"/>
      <c r="C1" s="104"/>
      <c r="D1" s="104"/>
      <c r="E1" s="104"/>
      <c r="N1" s="105" t="s">
        <v>41</v>
      </c>
      <c r="O1" s="105"/>
      <c r="P1" s="105"/>
      <c r="Q1" s="105"/>
      <c r="R1" s="105"/>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89</v>
      </c>
    </row>
    <row r="52" spans="1:2" x14ac:dyDescent="0.2">
      <c r="B52" t="s">
        <v>88</v>
      </c>
    </row>
    <row r="54" spans="1:2" x14ac:dyDescent="0.2">
      <c r="A54" s="70"/>
    </row>
  </sheetData>
  <sheetProtection password="ED3E" sheet="1" objects="1" scenarios="1"/>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2013-05-08T17:11:12Z</dcterms:modified>
</cp:coreProperties>
</file>