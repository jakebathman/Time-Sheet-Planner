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60" windowWidth="14115" windowHeight="8430" tabRatio="87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5" i="1832" l="1"/>
  <c r="I16" i="1832"/>
  <c r="I15" i="1832" s="1"/>
  <c r="L10" i="1832"/>
  <c r="L11" i="1832" s="1"/>
  <c r="H16" i="1832" l="1"/>
  <c r="I14" i="1832"/>
  <c r="I13" i="1832"/>
  <c r="I12" i="1832"/>
  <c r="L13" i="1832"/>
  <c r="M4" i="1832"/>
  <c r="H14" i="1832" l="1"/>
  <c r="H13" i="1832" l="1"/>
  <c r="H12" i="1832"/>
  <c r="H11" i="1832" l="1"/>
  <c r="I11" i="1832" s="1"/>
  <c r="M9" i="1832"/>
  <c r="D9" i="5" l="1"/>
  <c r="L12" i="1832" l="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K16" i="1836" l="1"/>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<sst xmlns="http://schemas.openxmlformats.org/spreadsheetml/2006/main" count="213" uniqueCount="155">
  <si>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</si>
  <si>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</si>
  <si>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</si>
  <si>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</si>
  <si>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</si>
  <si>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</si>
  <si>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</si>
  <si>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</si>
  <si>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</si>
  <si>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</si>
  <si>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</si>
  <si>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</si>
  <si>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</si>
  <si>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</si>
  <si>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</si>
  <si>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</si>
  <si>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</si>
  <si>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</si>
  <si>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</si>
  <si>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</si>
  <si>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</si>
  <si>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</si>
  <si>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</si>
  <si>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</si>
  <si>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</si>
  <si>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</si>
  <si>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</si>
  <si>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</si>
  <si>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</si>
  <si>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</si>
  <si>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</si>
  <si>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</si>
  <si>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</si>
  <si>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</si>
  <si>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</si>
  <si>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</si>
  <si>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</si>
  <si>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</si>
  <si>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</si>
  <si>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</si>
  <si>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</si>
  <si>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</si>
  <si>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</si>
  <si>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</si>
  <si>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</si>
  <si>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</si>
  <si>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</si>
  <si>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</si>
  <si>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</si>
  <si>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</si>
  <si>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</si>
  <si>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</si>
  <si>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</si>
  <si>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</si>
  <si>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</si>
  <si>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</si>
  <si>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</si>
  <si>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</si>
  <si>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</si>
  <si>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</si>
  <si>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</si>
  <si>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</si>
  <si>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</si>
  <si>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</si>
  <si>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</si>
  <si>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</si>
  <si>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</si>
  <si>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</si>
  <si>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</si>
  <si>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</si>
  <si>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</si>
  <si>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</si>
  <si>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</si>
  <si>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</si>
  <si>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</si>
  <si>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</si>
  <si>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</si>
  <si>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</si>
  <si>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</si>
  <si>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</si>
  <si>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</si>
  <si>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</si>
  <si>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</si>
  <si>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</si>
  <si>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</si>
  <si>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</si>
  <si>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</si>
  <si>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</si>
  <si>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</si>
  <si>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</si>
  <si>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</si>
  <si>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</si>
  <si>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</si>
  <si>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</si>
  <si>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</si>
  <si>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</si>
  <si>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</si>
  <si>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</si>
  <si>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</si>
  <si>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</si>
  <si>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</si>
  <si>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</si>
  <si>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</si>
  <si>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</si>
  <si>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</si>
  <si>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</si>
  <si>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</si>
  <si>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</si>
  <si>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</si>
  <si>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</si>
  <si>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</si>
  <si>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</si>
  <si>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</si>
  <si>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</si>
  <si>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</si>
  <si>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</si>
  <si>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</si>
  <si>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</si>
  <si>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</si>
  <si>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</si>
  <si>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</si>
  <si>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</si>
  <si>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</si>
  <si>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</si>
  <si>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</si>
  <si>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</si>
  <si>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</si>
  <si>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</si>
  <si>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</si>
  <si>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</si>
  <si>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Rebecca Drekmann</t>
  </si>
  <si>
    <t>Jake Bathman</t>
  </si>
  <si>
    <t>Steve Wasserman</t>
  </si>
  <si>
    <t>Oscar Martinez</t>
  </si>
  <si>
    <t>Lindsay Peterson</t>
  </si>
  <si>
    <t>Jason Lane</t>
  </si>
  <si>
    <t>EmployeeNames</t>
  </si>
  <si>
    <t>Time Off Code</t>
  </si>
  <si>
    <t>Holiday</t>
  </si>
  <si>
    <t>TimeOffCodes</t>
  </si>
  <si>
    <t>PTO</t>
  </si>
  <si>
    <t>Comp</t>
  </si>
  <si>
    <t xml:space="preserve"> </t>
  </si>
  <si>
    <t>Choose name . . .</t>
  </si>
  <si>
    <t>CurrentEmployee</t>
  </si>
  <si>
    <t>RememberCurrentEmployee</t>
  </si>
  <si>
    <t>On</t>
  </si>
  <si>
    <t>Off</t>
  </si>
  <si>
    <t>Supervisor Mode:</t>
  </si>
  <si>
    <t>(for future development)</t>
  </si>
  <si>
    <t>Kelsie Markos</t>
  </si>
  <si>
    <t>Greg Huffman</t>
  </si>
  <si>
    <t>x</t>
  </si>
  <si>
    <t>Ashleigh Feryan</t>
  </si>
  <si>
    <t>Closure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</si>
</sst>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8">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solid">
        <fgColor theme="1" tint="0.34998626667073579"/>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167" fontId="11" fillId="0" borderId="7" xfId="0" applyNumberFormat="1" applyFont="1" applyBorder="1" applyAlignment="1">
      <alignment horizontal="center" vertical="center"/>
    </xf>
    <xf numFmtId="0" fontId="1" fillId="6" borderId="0" xfId="0" applyFont="1" applyFill="1" applyAlignment="1" applyProtection="1">
      <alignment horizontal="right" vertical="center"/>
    </xf>
    <xf numFmtId="0" fontId="0" fillId="6" borderId="0" xfId="0" applyFill="1" applyAlignment="1" applyProtection="1">
      <alignment horizontal="right" vertical="center"/>
    </xf>
    <xf numFmtId="0" fontId="0" fillId="6" borderId="0" xfId="0" applyFill="1" applyProtection="1">
      <alignment vertical="center"/>
    </xf>
    <xf numFmtId="0" fontId="0" fillId="6" borderId="0" xfId="0" applyFill="1" applyAlignment="1" applyProtection="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xf numFmtId="0" fontId="0" fillId="7" borderId="0" xfId="0" applyFill="1">
      <alignment vertical="center"/>
    </xf>
  </cellXfs>
  <cellStyles count="3">
    <cellStyle name="Comma" xfId="1" builtinId="3"/>
    <cellStyle name="Hyperlink" xfId="2" builtinId="8"/>
    <cellStyle name="Normal" xfId="0" builtinId="0"/>
  </cellStyles>
  <dxfs count="36">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9.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10</xdr:row>
          <xdr:rowOff>95250</xdr:rowOff>
        </xdr:from>
        <xdr:to>
          <xdr:col>8</xdr:col>
          <xdr:colOff>447675</xdr:colOff>
          <xdr:row>10</xdr:row>
          <xdr:rowOff>647700</xdr:rowOff>
        </xdr:to>
        <xdr:sp macro="" textlink="">
          <xdr:nvSpPr>
            <xdr:cNvPr id="1189908" name="btnCreateCompForm" hidden="1">
              <a:extLst>
                <a:ext uri="{63B3BB69-23CF-44E3-9099-C40C66FF867C}">
                  <a14:compatExt spid="_x0000_s1189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76199</xdr:colOff>
          <xdr:row>10</xdr:row>
          <xdr:rowOff>209550</xdr:rowOff>
        </xdr:from>
        <xdr:to>
          <xdr:col>6</xdr:col>
          <xdr:colOff>704850</xdr:colOff>
          <xdr:row>10</xdr:row>
          <xdr:rowOff>609600</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9.xml"/><Relationship Id="rId1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image" Target="../media/image7.emf"/><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12.xml"/><Relationship Id="rId1" Type="http://schemas.openxmlformats.org/officeDocument/2006/relationships/printerSettings" Target="../printerSettings/printerSettings4.bin"/><Relationship Id="rId6" Type="http://schemas.openxmlformats.org/officeDocument/2006/relationships/control" Target="../activeX/activeX5.xml"/><Relationship Id="rId11" Type="http://schemas.openxmlformats.org/officeDocument/2006/relationships/control" Target="../activeX/activeX8.xml"/><Relationship Id="rId5" Type="http://schemas.openxmlformats.org/officeDocument/2006/relationships/image" Target="../media/image4.emf"/><Relationship Id="rId15" Type="http://schemas.openxmlformats.org/officeDocument/2006/relationships/control" Target="../activeX/activeX11.xml"/><Relationship Id="rId10" Type="http://schemas.openxmlformats.org/officeDocument/2006/relationships/control" Target="../activeX/activeX7.xml"/><Relationship Id="rId19" Type="http://schemas.openxmlformats.org/officeDocument/2006/relationships/image" Target="../media/image9.emf"/><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Normal="10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137</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37"/>
      <c r="G4" s="37"/>
      <c r="H4" s="30"/>
      <c r="I4" s="30"/>
      <c r="J4" s="32"/>
      <c r="K4" s="38"/>
      <c r="L4" s="79"/>
      <c r="M4" s="34" t="str">
        <f t="shared" si="0"/>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IF(SUMIF(H3:H9,"=PTO",I3:I9)&gt;0,SUMIF(H3:H9,"=PTO",I3:I9),IF(AND(SUM(I3:I9)&gt;0,I16&gt;0,I16&lt;&gt;""),"?",""))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IF(SUMIF(H3:H9,"=Comp",I3:I9)&gt;0,SUMIF(H3:H9,"=Comp",I3:I9),IF(AND(SUM(I3:I9)&gt;0,I16&gt;0,I16&lt;&gt;""),"?",""))</f>
        <v/>
      </c>
      <c r="L13" s="13" t="str">
        <f>IF(OR(L10=0,L10&gt;=B1),"",IF(ISBLANK(B7)=FALSE,"",CONCATENATE("On track for ~", ((COUNTBLANK(L3:L7))*MROUND(AVERAGE(L3:L7),0.25))+L10," hrs. total")))</f>
        <v/>
      </c>
      <c r="M13" s="19"/>
    </row>
    <row r="14" spans="1:14" x14ac:dyDescent="0.2">
      <c r="A14" s="91"/>
      <c r="B14" s="92"/>
      <c r="C14" s="92"/>
      <c r="D14" s="71"/>
      <c r="G14" s="14"/>
      <c r="H14" s="113" t="str">
        <f>IF(SUM(I3:I9)&gt;0,"Holiday:","")</f>
        <v/>
      </c>
      <c r="I14" s="115" t="str">
        <f>IF(SUMIF(H3:H9,"=Holiday",I3:I9)&gt;0,SUMIF(H3:H9,"=Holiday",I3:I9),IF(AND(SUM(I3:I9)&gt;0,I16&gt;0,I16&lt;&gt;""),"?",""))</f>
        <v/>
      </c>
      <c r="L14" s="3"/>
      <c r="M14" s="4"/>
    </row>
    <row r="15" spans="1:14" x14ac:dyDescent="0.2">
      <c r="B15" s="67"/>
      <c r="G15" s="14"/>
      <c r="H15" s="113" t="str">
        <f>IF(SUM(I3:I9)&gt;0,"Closure:","")</f>
        <v/>
      </c>
      <c r="I15" s="114" t="str">
        <f>IF(SUMIF(H3:H9,"=Closure",I3:I9)&gt;0,SUMIF(H3:H9,"=Closure",I3:I9),IF(AND(SUM(I3:I9)&gt;0,I16&gt;0,I16&lt;&gt;""),"?",""))</f>
        <v/>
      </c>
      <c r="L15" s="3"/>
      <c r="M15" s="4"/>
    </row>
    <row r="16" spans="1:14" x14ac:dyDescent="0.2">
      <c r="A16" s="1"/>
      <c r="B16" s="2"/>
      <c r="G16" s="14"/>
      <c r="H16" s="113" t="str">
        <f>IF(AND(SUM(I3:I9)&gt;0,I16&gt;0,I16&lt;&gt;""),"Other:","")</f>
        <v/>
      </c>
      <c r="I16" s="114" t="str">
        <f>IF(SUM(I3:I9)-SUMIF(H3:H9,"=PTO",I3:I9)-SUMIF(H3:H9,"=Comp",I3:I9)-SUMIF(H3:H9,"=Holiday",I3:I9)-SUMIF(H3:H9,"=Closure",I3:I9)&gt;0,SUM(I3:I9)-SUMIF(H3:H9,"=PTO",I3:I9)-SUMIF(H3:H9,"=Comp",I3:I9)-SUMIF(H3:H9,"=Holiday",I3:I9),"")</f>
        <v/>
      </c>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5" priority="19" stopIfTrue="1" operator="notEqual">
      <formula>""</formula>
    </cfRule>
  </conditionalFormatting>
  <conditionalFormatting sqref="A19:B19">
    <cfRule type="cellIs" dxfId="34" priority="18" stopIfTrue="1" operator="notEqual">
      <formula>""</formula>
    </cfRule>
  </conditionalFormatting>
  <conditionalFormatting sqref="I3:J7">
    <cfRule type="containsBlanks" dxfId="33" priority="20" stopIfTrue="1">
      <formula>LEN(TRIM(I3))=0</formula>
    </cfRule>
  </conditionalFormatting>
  <conditionalFormatting sqref="F3:G7">
    <cfRule type="containsBlanks" dxfId="32" priority="17" stopIfTrue="1">
      <formula>LEN(TRIM(F3))=0</formula>
    </cfRule>
  </conditionalFormatting>
  <conditionalFormatting sqref="I9:J9">
    <cfRule type="containsBlanks" dxfId="31" priority="15" stopIfTrue="1">
      <formula>LEN(TRIM(I9))=0</formula>
    </cfRule>
  </conditionalFormatting>
  <conditionalFormatting sqref="B9:G9">
    <cfRule type="containsBlanks" dxfId="30" priority="14" stopIfTrue="1">
      <formula>LEN(TRIM(B9))=0</formula>
    </cfRule>
  </conditionalFormatting>
  <conditionalFormatting sqref="I8:J8">
    <cfRule type="containsBlanks" dxfId="29" priority="13" stopIfTrue="1">
      <formula>LEN(TRIM(I8))=0</formula>
    </cfRule>
  </conditionalFormatting>
  <conditionalFormatting sqref="B8:G8">
    <cfRule type="containsBlanks" dxfId="28" priority="12" stopIfTrue="1">
      <formula>LEN(TRIM(B8))=0</formula>
    </cfRule>
  </conditionalFormatting>
  <conditionalFormatting sqref="H3">
    <cfRule type="containsBlanks" dxfId="27" priority="10" stopIfTrue="1">
      <formula>LEN(TRIM(H3))=0</formula>
    </cfRule>
  </conditionalFormatting>
  <conditionalFormatting sqref="H4:H7">
    <cfRule type="containsBlanks" dxfId="26" priority="9" stopIfTrue="1">
      <formula>LEN(TRIM(H4))=0</formula>
    </cfRule>
  </conditionalFormatting>
  <conditionalFormatting sqref="H8">
    <cfRule type="containsBlanks" dxfId="25" priority="8" stopIfTrue="1">
      <formula>LEN(TRIM(H8))=0</formula>
    </cfRule>
  </conditionalFormatting>
  <conditionalFormatting sqref="H9">
    <cfRule type="containsBlanks" dxfId="24" priority="7" stopIfTrue="1">
      <formula>LEN(TRIM(H9))=0</formula>
    </cfRule>
  </conditionalFormatting>
  <conditionalFormatting sqref="B3:E7">
    <cfRule type="containsBlanks" dxfId="23" priority="4" stopIfTrue="1">
      <formula>LEN(TRIM(B3))=0</formula>
    </cfRule>
  </conditionalFormatting>
  <conditionalFormatting sqref="D3">
    <cfRule type="containsBlanks" dxfId="22" priority="3" stopIfTrue="1">
      <formula>LEN(TRIM(D3))=0</formula>
    </cfRule>
  </conditionalFormatting>
  <conditionalFormatting sqref="B7:E7">
    <cfRule type="containsBlanks" dxfId="21" priority="2" stopIfTrue="1">
      <formula>LEN(TRIM(B7))=0</formula>
    </cfRule>
  </conditionalFormatting>
  <conditionalFormatting sqref="B6:E6">
    <cfRule type="containsBlanks" dxfId="20" priority="1" stopIfTrue="1">
      <formula>LEN(TRIM(B6))=0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8" r:id="rId4" name="btnCreateCompForm">
          <controlPr autoLine="0" r:id="rId5">
            <anchor moveWithCells="1">
              <from>
                <xdr:col>5</xdr:col>
                <xdr:colOff>47625</xdr:colOff>
                <xdr:row>10</xdr:row>
                <xdr:rowOff>95250</xdr:rowOff>
              </from>
              <to>
                <xdr:col>8</xdr:col>
                <xdr:colOff>447675</xdr:colOff>
                <xdr:row>10</xdr:row>
                <xdr:rowOff>647700</xdr:rowOff>
              </to>
            </anchor>
          </controlPr>
        </control>
      </mc:Choice>
      <mc:Fallback>
        <control shapeId="1189908" r:id="rId4" name="btnCreateCompForm"/>
      </mc:Fallback>
    </mc:AlternateContent>
    <mc:AlternateContent xmlns:mc="http://schemas.openxmlformats.org/markup-compatibility/2006">
      <mc:Choice Requires="x14">
        <control shapeId="1189901" r:id="rId6" name="btnInstructions">
          <controlPr autoLine="0" autoPict="0" r:id="rId7">
            <anchor moveWithCells="1">
              <from>
                <xdr:col>6</xdr:col>
                <xdr:colOff>9525</xdr:colOff>
                <xdr:row>0</xdr:row>
                <xdr:rowOff>0</xdr:rowOff>
              </from>
              <to>
                <xdr:col>7</xdr:col>
                <xdr:colOff>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905" r:id="rId8" name="btnCreateTimeOffSheet">
          <controlPr autoLine="0" r:id="rId9">
            <anchor moveWithCells="1">
              <from>
                <xdr:col>5</xdr:col>
                <xdr:colOff>76200</xdr:colOff>
                <xdr:row>10</xdr:row>
                <xdr:rowOff>209550</xdr:rowOff>
              </from>
              <to>
                <xdr:col>6</xdr:col>
                <xdr:colOff>704850</xdr:colOff>
                <xdr:row>10</xdr:row>
                <xdr:rowOff>609600</xdr:rowOff>
              </to>
            </anchor>
          </controlPr>
        </control>
      </mc:Choice>
      <mc:Fallback>
        <control shapeId="1189905" r:id="rId8" name="btnCreateTimeOffSheet"/>
      </mc:Fallback>
    </mc:AlternateContent>
    <mc:AlternateContent xmlns:mc="http://schemas.openxmlformats.org/markup-compatibility/2006">
      <mc:Choice Requires="x14">
        <control shapeId="1189889" r:id="rId10"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2" r:id="rId11"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2"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References!$B$2:$B$6</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22" t="str">
        <f>IF(K15&gt;=B1,"",IF(AND(COUNTIF(K3:K11,"&gt;=4")=4,COUNTIF(B9:B12,"&gt;0")&gt;2),CONCATENATE("Trying to hit ",B1," hours exactly? Estimate your final punch below"),""))</f>
        <v/>
      </c>
      <c r="B19" s="123"/>
      <c r="C19" s="123"/>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4" t="str">
        <f>IF((A23=""),"",IF(AND((ISBLANK(D11)=FALSE),(ISBLANK(C11)=FALSE)),"You've already entered in lunch punches for today. I'll use those numbers.","&lt;--- Enter today's lunch time as a decimal (e.g. 45 minutes would be .75). Entering nothing will default to 1 hour. You can enter 0 for no lunch."))</f>
        <v/>
      </c>
      <c r="D23" s="125"/>
      <c r="E23" s="125"/>
      <c r="F23" s="125"/>
      <c r="G23" s="125"/>
      <c r="H23" s="125"/>
      <c r="I23" s="125"/>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4" t="str">
        <f>IF((A24=""),"",IF((COUNTA(B11:D11)=2),"Looks like you've got only one lunch punch. Enter another to calculate",""))</f>
        <v/>
      </c>
      <c r="D24" s="125"/>
      <c r="E24" s="125"/>
      <c r="F24" s="125"/>
      <c r="K24" s="3"/>
      <c r="L24" s="4"/>
    </row>
    <row r="25" spans="1:12" ht="12.75" customHeight="1" x14ac:dyDescent="0.2">
      <c r="K25" s="3"/>
      <c r="L25" s="4"/>
    </row>
    <row r="26" spans="1:12" ht="12.75" customHeight="1" x14ac:dyDescent="0.2">
      <c r="K26" s="3"/>
      <c r="L26" s="4"/>
    </row>
    <row r="27" spans="1:12" ht="29.25" customHeight="1" x14ac:dyDescent="0.2">
      <c r="A27" s="10" t="s">
        <v>3</v>
      </c>
      <c r="B27" s="121" t="s">
        <v>5</v>
      </c>
      <c r="C27" s="121"/>
      <c r="D27" s="121"/>
      <c r="E27" s="121"/>
      <c r="F27" s="121"/>
      <c r="G27" s="126"/>
      <c r="H27" s="126"/>
      <c r="K27" s="3"/>
      <c r="L27" s="4"/>
    </row>
    <row r="28" spans="1:12" ht="28.5" customHeight="1" x14ac:dyDescent="0.2">
      <c r="B28" s="127" t="s">
        <v>17</v>
      </c>
      <c r="C28" s="127"/>
      <c r="D28" s="127"/>
      <c r="E28" s="127"/>
      <c r="F28" s="127"/>
      <c r="G28" s="127"/>
      <c r="H28" s="127"/>
      <c r="K28" s="3"/>
      <c r="L28" s="4"/>
    </row>
    <row r="29" spans="1:12" ht="41.25" customHeight="1" x14ac:dyDescent="0.2">
      <c r="B29" s="121" t="s">
        <v>71</v>
      </c>
      <c r="C29" s="121"/>
      <c r="D29" s="121"/>
      <c r="E29" s="121"/>
      <c r="F29" s="121"/>
      <c r="G29" s="121"/>
      <c r="H29" s="121"/>
      <c r="K29" s="3"/>
      <c r="L29" s="4"/>
    </row>
    <row r="30" spans="1:12" ht="29.25" customHeight="1" x14ac:dyDescent="0.2">
      <c r="B30" s="121" t="s">
        <v>15</v>
      </c>
      <c r="C30" s="121"/>
      <c r="D30" s="121"/>
      <c r="E30" s="121"/>
      <c r="F30" s="121"/>
      <c r="G30" s="121"/>
      <c r="H30" s="121"/>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22" t="str">
        <f>IF(K15&gt;=B1,"",IF(AND(COUNTIF(K3:K11,"&gt;=4")=4,COUNTIF(B9:B12,"&gt;0")&gt;2),CONCATENATE("Trying to hit ",B1," hours exactly? Estimate your final punch below"),""))</f>
        <v/>
      </c>
      <c r="B19" s="123"/>
      <c r="C19" s="123"/>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4" t="str">
        <f>IF((A23=""),"",IF(AND((ISBLANK(D11)=FALSE),(ISBLANK(C11)=FALSE)),"You've already entered in lunch punches for today. I'll use those numbers.","&lt;--- Enter today's lunch time as a decimal (e.g. 45 minutes would be .75). Entering nothing will default to 1 hour. You can enter 0 for no lunch."))</f>
        <v/>
      </c>
      <c r="D23" s="125"/>
      <c r="E23" s="125"/>
      <c r="F23" s="125"/>
      <c r="G23" s="125"/>
      <c r="H23" s="125"/>
      <c r="I23" s="125"/>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4" t="str">
        <f>IF((A24=""),"",IF((COUNTA(B11:D11)=2),"Looks like you've got only one lunch punch. Enter another to calculate",""))</f>
        <v/>
      </c>
      <c r="D24" s="125"/>
      <c r="E24" s="125"/>
      <c r="F24" s="125"/>
      <c r="K24" s="3"/>
      <c r="L24" s="4"/>
    </row>
    <row r="25" spans="1:12" ht="12.75" customHeight="1" x14ac:dyDescent="0.2">
      <c r="K25" s="3"/>
      <c r="L25" s="4"/>
    </row>
    <row r="26" spans="1:12" ht="12.75" customHeight="1" x14ac:dyDescent="0.2">
      <c r="K26" s="3"/>
      <c r="L26" s="4"/>
    </row>
    <row r="27" spans="1:12" ht="29.25" customHeight="1" x14ac:dyDescent="0.2">
      <c r="A27" s="10" t="s">
        <v>3</v>
      </c>
      <c r="B27" s="121" t="s">
        <v>5</v>
      </c>
      <c r="C27" s="121"/>
      <c r="D27" s="121"/>
      <c r="E27" s="121"/>
      <c r="F27" s="121"/>
      <c r="G27" s="126"/>
      <c r="H27" s="126"/>
      <c r="K27" s="3"/>
      <c r="L27" s="4"/>
    </row>
    <row r="28" spans="1:12" ht="28.5" customHeight="1" x14ac:dyDescent="0.2">
      <c r="B28" s="127" t="s">
        <v>17</v>
      </c>
      <c r="C28" s="127"/>
      <c r="D28" s="127"/>
      <c r="E28" s="127"/>
      <c r="F28" s="127"/>
      <c r="G28" s="127"/>
      <c r="H28" s="127"/>
      <c r="K28" s="3"/>
      <c r="L28" s="4"/>
    </row>
    <row r="29" spans="1:12" ht="41.25" customHeight="1" x14ac:dyDescent="0.2">
      <c r="B29" s="121" t="s">
        <v>71</v>
      </c>
      <c r="C29" s="121"/>
      <c r="D29" s="121"/>
      <c r="E29" s="121"/>
      <c r="F29" s="121"/>
      <c r="G29" s="121"/>
      <c r="H29" s="121"/>
      <c r="K29" s="3"/>
      <c r="L29" s="4"/>
    </row>
    <row r="30" spans="1:12" ht="29.25" customHeight="1" x14ac:dyDescent="0.2">
      <c r="B30" s="121" t="s">
        <v>15</v>
      </c>
      <c r="C30" s="121"/>
      <c r="D30" s="121"/>
      <c r="E30" s="121"/>
      <c r="F30" s="121"/>
      <c r="G30" s="121"/>
      <c r="H30" s="121"/>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143</v>
      </c>
      <c r="D2" s="102"/>
      <c r="E2" s="100"/>
      <c r="F2" s="100" t="s">
        <v>112</v>
      </c>
      <c r="G2" s="100"/>
      <c r="H2" s="108">
        <v>42066</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6"/>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33"/>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33"/>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33"/>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33"/>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8"/>
      <c r="B24" s="128"/>
      <c r="C24" s="128"/>
      <c r="D24" s="128"/>
      <c r="E24" s="128"/>
      <c r="F24" s="128"/>
      <c r="G24" s="128"/>
      <c r="H24" s="128"/>
      <c r="I24" s="128"/>
      <c r="J24" s="105"/>
    </row>
    <row r="25" spans="1:10" ht="11.25" customHeight="1" x14ac:dyDescent="0.2">
      <c r="A25" s="106"/>
      <c r="B25" s="106"/>
      <c r="C25" s="106"/>
      <c r="D25" s="106"/>
      <c r="E25" s="106"/>
      <c r="F25" s="106"/>
      <c r="G25" s="106"/>
      <c r="H25" s="106"/>
      <c r="I25" s="106"/>
      <c r="J25" s="106"/>
    </row>
    <row r="26" spans="1:10" ht="15.75" x14ac:dyDescent="0.25">
      <c r="A26" s="129"/>
      <c r="B26" s="129"/>
      <c r="C26" s="129"/>
      <c r="D26" s="129"/>
      <c r="E26" s="129"/>
      <c r="F26" s="129"/>
      <c r="G26" s="129"/>
      <c r="H26" s="129"/>
      <c r="I26" s="129"/>
      <c r="J26" s="105"/>
    </row>
    <row r="27" spans="1:10" ht="11.25" customHeight="1" x14ac:dyDescent="0.2">
      <c r="A27" s="106"/>
      <c r="B27" s="106"/>
      <c r="C27" s="106"/>
      <c r="D27" s="106"/>
      <c r="E27" s="106"/>
      <c r="F27" s="106"/>
      <c r="G27" s="106"/>
      <c r="H27" s="106"/>
      <c r="I27" s="106"/>
      <c r="J27" s="106"/>
    </row>
    <row r="28" spans="1:10" ht="15.75" x14ac:dyDescent="0.25">
      <c r="A28" s="129"/>
      <c r="B28" s="129"/>
      <c r="C28" s="129"/>
      <c r="D28" s="129"/>
      <c r="E28" s="129"/>
      <c r="F28" s="129"/>
      <c r="G28" s="129"/>
      <c r="H28" s="129"/>
      <c r="I28" s="129"/>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30"/>
      <c r="E32" s="130"/>
      <c r="F32" s="130"/>
      <c r="G32" s="130"/>
      <c r="H32" s="130"/>
      <c r="I32" s="130"/>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30"/>
      <c r="E35" s="130"/>
      <c r="F35" s="130"/>
      <c r="G35" s="130"/>
      <c r="H35" s="130"/>
      <c r="I35" s="130"/>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7" r:id="rId4" name="lblPrintLabel">
          <controlPr print="0" autoLine="0" r:id="rId5">
            <anchor moveWithCells="1">
              <from>
                <xdr:col>11</xdr:col>
                <xdr:colOff>428625</xdr:colOff>
                <xdr:row>1</xdr:row>
                <xdr:rowOff>180975</xdr:rowOff>
              </from>
              <to>
                <xdr:col>12</xdr:col>
                <xdr:colOff>485775</xdr:colOff>
                <xdr:row>5</xdr:row>
                <xdr:rowOff>152400</xdr:rowOff>
              </to>
            </anchor>
          </controlPr>
        </control>
      </mc:Choice>
      <mc:Fallback>
        <control shapeId="1397777" r:id="rId4" name="lblPrintLabel"/>
      </mc:Fallback>
    </mc:AlternateContent>
    <mc:AlternateContent xmlns:mc="http://schemas.openxmlformats.org/markup-compatibility/2006">
      <mc:Choice Requires="x14">
        <control shapeId="1397769" r:id="rId6" name="boxEmployeeName">
          <controlPr print="0" autoFill="0" autoLine="0" linkedCell="$C$2" listFillRange="References!$A$2:$A$12" r:id="rId7">
            <anchor moveWithCells="1">
              <from>
                <xdr:col>2</xdr:col>
                <xdr:colOff>28575</xdr:colOff>
                <xdr:row>1</xdr:row>
                <xdr:rowOff>19050</xdr:rowOff>
              </from>
              <to>
                <xdr:col>4</xdr:col>
                <xdr:colOff>0</xdr:colOff>
                <xdr:row>1</xdr:row>
                <xdr:rowOff>228600</xdr:rowOff>
              </to>
            </anchor>
          </controlPr>
        </control>
      </mc:Choice>
      <mc:Fallback>
        <control shapeId="1397769" r:id="rId6" name="boxEmployeeName"/>
      </mc:Fallback>
    </mc:AlternateContent>
    <mc:AlternateContent xmlns:mc="http://schemas.openxmlformats.org/markup-compatibility/2006">
      <mc:Choice Requires="x14">
        <control shapeId="1397766" r:id="rId8" name="chkOvertimeEarned">
          <controlPr autoFill="0" autoLine="0" r:id="rId9">
            <anchor moveWithCells="1">
              <from>
                <xdr:col>0</xdr:col>
                <xdr:colOff>381000</xdr:colOff>
                <xdr:row>32</xdr:row>
                <xdr:rowOff>180975</xdr:rowOff>
              </from>
              <to>
                <xdr:col>1</xdr:col>
                <xdr:colOff>0</xdr:colOff>
                <xdr:row>34</xdr:row>
                <xdr:rowOff>47625</xdr:rowOff>
              </to>
            </anchor>
          </controlPr>
        </control>
      </mc:Choice>
      <mc:Fallback>
        <control shapeId="1397766" r:id="rId8" name="chkOvertimeEarned"/>
      </mc:Fallback>
    </mc:AlternateContent>
    <mc:AlternateContent xmlns:mc="http://schemas.openxmlformats.org/markup-compatibility/2006">
      <mc:Choice Requires="x14">
        <control shapeId="1397765" r:id="rId10" name="chkCompEarned">
          <controlPr autoFill="0" autoLine="0" r:id="rId9">
            <anchor moveWithCells="1">
              <from>
                <xdr:col>0</xdr:col>
                <xdr:colOff>381000</xdr:colOff>
                <xdr:row>29</xdr:row>
                <xdr:rowOff>180975</xdr:rowOff>
              </from>
              <to>
                <xdr:col>1</xdr:col>
                <xdr:colOff>0</xdr:colOff>
                <xdr:row>31</xdr:row>
                <xdr:rowOff>47625</xdr:rowOff>
              </to>
            </anchor>
          </controlPr>
        </control>
      </mc:Choice>
      <mc:Fallback>
        <control shapeId="1397765" r:id="rId10" name="chkCompEarned"/>
      </mc:Fallback>
    </mc:AlternateContent>
    <mc:AlternateContent xmlns:mc="http://schemas.openxmlformats.org/markup-compatibility/2006">
      <mc:Choice Requires="x14">
        <control shapeId="1397764" r:id="rId11" name="chkOther">
          <controlPr autoFill="0" autoLine="0" r:id="rId12">
            <anchor moveWithCells="1">
              <from>
                <xdr:col>1</xdr:col>
                <xdr:colOff>419100</xdr:colOff>
                <xdr:row>20</xdr:row>
                <xdr:rowOff>28575</xdr:rowOff>
              </from>
              <to>
                <xdr:col>1</xdr:col>
                <xdr:colOff>571500</xdr:colOff>
                <xdr:row>20</xdr:row>
                <xdr:rowOff>180975</xdr:rowOff>
              </to>
            </anchor>
          </controlPr>
        </control>
      </mc:Choice>
      <mc:Fallback>
        <control shapeId="1397764" r:id="rId11" name="chkOther"/>
      </mc:Fallback>
    </mc:AlternateContent>
    <mc:AlternateContent xmlns:mc="http://schemas.openxmlformats.org/markup-compatibility/2006">
      <mc:Choice Requires="x14">
        <control shapeId="1397763" r:id="rId13" name="chkComp">
          <controlPr autoFill="0" autoLine="0" r:id="rId12">
            <anchor moveWithCells="1">
              <from>
                <xdr:col>1</xdr:col>
                <xdr:colOff>419100</xdr:colOff>
                <xdr:row>18</xdr:row>
                <xdr:rowOff>28575</xdr:rowOff>
              </from>
              <to>
                <xdr:col>1</xdr:col>
                <xdr:colOff>571500</xdr:colOff>
                <xdr:row>18</xdr:row>
                <xdr:rowOff>180975</xdr:rowOff>
              </to>
            </anchor>
          </controlPr>
        </control>
      </mc:Choice>
      <mc:Fallback>
        <control shapeId="1397763" r:id="rId13" name="chkComp"/>
      </mc:Fallback>
    </mc:AlternateContent>
    <mc:AlternateContent xmlns:mc="http://schemas.openxmlformats.org/markup-compatibility/2006">
      <mc:Choice Requires="x14">
        <control shapeId="1397762" r:id="rId14" name="chkCat">
          <controlPr autoFill="0" autoLine="0" r:id="rId12">
            <anchor moveWithCells="1">
              <from>
                <xdr:col>1</xdr:col>
                <xdr:colOff>419100</xdr:colOff>
                <xdr:row>11</xdr:row>
                <xdr:rowOff>38100</xdr:rowOff>
              </from>
              <to>
                <xdr:col>1</xdr:col>
                <xdr:colOff>571500</xdr:colOff>
                <xdr:row>11</xdr:row>
                <xdr:rowOff>190500</xdr:rowOff>
              </to>
            </anchor>
          </controlPr>
        </control>
      </mc:Choice>
      <mc:Fallback>
        <control shapeId="1397762" r:id="rId14" name="chkCat"/>
      </mc:Fallback>
    </mc:AlternateContent>
    <mc:AlternateContent xmlns:mc="http://schemas.openxmlformats.org/markup-compatibility/2006">
      <mc:Choice Requires="x14">
        <control shapeId="1397761" r:id="rId15" name="chkPTO">
          <controlPr autoFill="0" autoLine="0" r:id="rId12">
            <anchor moveWithCells="1">
              <from>
                <xdr:col>1</xdr:col>
                <xdr:colOff>419100</xdr:colOff>
                <xdr:row>9</xdr:row>
                <xdr:rowOff>38100</xdr:rowOff>
              </from>
              <to>
                <xdr:col>1</xdr:col>
                <xdr:colOff>571500</xdr:colOff>
                <xdr:row>9</xdr:row>
                <xdr:rowOff>190500</xdr:rowOff>
              </to>
            </anchor>
          </controlPr>
        </control>
      </mc:Choice>
      <mc:Fallback>
        <control shapeId="1397761" r:id="rId15" name="chkPTO"/>
      </mc:Fallback>
    </mc:AlternateContent>
    <mc:AlternateContent xmlns:mc="http://schemas.openxmlformats.org/markup-compatibility/2006">
      <mc:Choice Requires="x14">
        <control shapeId="1397775" r:id="rId16" name="btnPrintTimeOffForm">
          <controlPr print="0" autoLine="0" r:id="rId17">
            <anchor moveWithCells="1">
              <from>
                <xdr:col>8</xdr:col>
                <xdr:colOff>95250</xdr:colOff>
                <xdr:row>1</xdr:row>
                <xdr:rowOff>28575</xdr:rowOff>
              </from>
              <to>
                <xdr:col>11</xdr:col>
                <xdr:colOff>371475</xdr:colOff>
                <xdr:row>6</xdr:row>
                <xdr:rowOff>47625</xdr:rowOff>
              </to>
            </anchor>
          </controlPr>
        </control>
      </mc:Choice>
      <mc:Fallback>
        <control shapeId="1397775" r:id="rId16" name="btnPrintTimeOffForm"/>
      </mc:Fallback>
    </mc:AlternateContent>
    <mc:AlternateContent xmlns:mc="http://schemas.openxmlformats.org/markup-compatibility/2006">
      <mc:Choice Requires="x14">
        <control shapeId="1397778" r:id="rId18" name="btnResetTimeOffForm">
          <controlPr autoLine="0" r:id="rId19">
            <anchor moveWithCells="1">
              <from>
                <xdr:col>10</xdr:col>
                <xdr:colOff>161925</xdr:colOff>
                <xdr:row>7</xdr:row>
                <xdr:rowOff>38100</xdr:rowOff>
              </from>
              <to>
                <xdr:col>11</xdr:col>
                <xdr:colOff>466725</xdr:colOff>
                <xdr:row>9</xdr:row>
                <xdr:rowOff>28575</xdr:rowOff>
              </to>
            </anchor>
          </controlPr>
        </control>
      </mc:Choice>
      <mc:Fallback>
        <control shapeId="1397778" r:id="rId18" name="btnResetTimeOffFor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
  <sheetViews>
    <sheetView workbookViewId="0">
      <selection activeCell="C10" sqref="C10"/>
    </sheetView>
  </sheetViews>
  <sheetFormatPr defaultRowHeight="12.75" x14ac:dyDescent="0.2"/>
  <cols>
    <col min="1" max="1" width="21.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152</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row r="17" spans="1:3" x14ac:dyDescent="0.2">
      <c r="A17" s="117" t="s">
        <v>148</v>
      </c>
      <c r="B17" s="118" t="s">
        <v>146</v>
      </c>
      <c r="C17" s="119"/>
    </row>
    <row r="18" spans="1:3" x14ac:dyDescent="0.2">
      <c r="A18" s="120" t="s">
        <v>149</v>
      </c>
      <c r="B18" s="118" t="s">
        <v>147</v>
      </c>
      <c r="C18" s="119" t="s">
        <v>48</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31" t="s">
        <v>26</v>
      </c>
      <c r="B1" s="131"/>
      <c r="C1" s="131"/>
      <c r="D1" s="131"/>
      <c r="E1" s="131"/>
      <c r="N1" s="132" t="s">
        <v>39</v>
      </c>
      <c r="O1" s="132"/>
      <c r="P1" s="132"/>
      <c r="Q1" s="132"/>
      <c r="R1" s="132"/>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2"/>
  <sheetViews>
    <sheetView workbookViewId="0">
      <selection activeCell="C2" sqref="C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136</v>
      </c>
      <c r="B1" t="s">
        <v>139</v>
      </c>
      <c r="C1" t="s">
        <v>144</v>
      </c>
      <c r="D1" t="s">
        <v>145</v>
      </c>
    </row>
    <row r="2" spans="1:4" x14ac:dyDescent="0.2">
      <c r="A2" t="s">
        <v>143</v>
      </c>
      <c r="B2" t="s">
        <v>142</v>
      </c>
      <c r="D2" t="b">
        <v>0</v>
      </c>
    </row>
    <row r="3" spans="1:4" x14ac:dyDescent="0.2">
      <c r="A3" t="s">
        <v>129</v>
      </c>
      <c r="B3" t="s">
        <v>140</v>
      </c>
    </row>
    <row r="4" spans="1:4" x14ac:dyDescent="0.2">
      <c r="A4" t="s">
        <v>153</v>
      </c>
      <c r="B4" t="s">
        <v>141</v>
      </c>
    </row>
    <row r="5" spans="1:4" x14ac:dyDescent="0.2">
      <c r="A5" t="s">
        <v>151</v>
      </c>
      <c r="B5" t="s">
        <v>138</v>
      </c>
    </row>
    <row r="6" spans="1:4" x14ac:dyDescent="0.2">
      <c r="A6" t="s">
        <v>131</v>
      </c>
      <c r="B6" t="s">
        <v>154</v>
      </c>
    </row>
    <row r="7" spans="1:4" x14ac:dyDescent="0.2">
      <c r="A7" t="s">
        <v>135</v>
      </c>
    </row>
    <row r="8" spans="1:4" x14ac:dyDescent="0.2">
      <c r="A8" t="s">
        <v>150</v>
      </c>
    </row>
    <row r="9" spans="1:4" x14ac:dyDescent="0.2">
      <c r="A9" t="s">
        <v>134</v>
      </c>
    </row>
    <row r="10" spans="1:4" x14ac:dyDescent="0.2">
      <c r="A10" t="s">
        <v>133</v>
      </c>
    </row>
    <row r="11" spans="1:4" x14ac:dyDescent="0.2">
      <c r="A11" t="s">
        <v>130</v>
      </c>
    </row>
    <row r="12" spans="1:4" x14ac:dyDescent="0.2">
      <c r="A12" t="s">
        <v>132</v>
      </c>
    </row>
  </sheetData>
  <sortState ref="A3:A13">
    <sortCondition ref="A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Jacob Bathman</cp:lastModifiedBy>
  <cp:lastPrinted>2015-03-02T15:44:05Z</cp:lastPrinted>
  <dcterms:created xsi:type="dcterms:W3CDTF">2011-08-11T20:04:03Z</dcterms:created>
  <dcterms:modified xsi:type="dcterms:W3CDTF">2015-03-03T15:42:34Z</dcterms:modified>
</cp:coreProperties>
</file>