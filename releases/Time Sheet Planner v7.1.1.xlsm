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601"/>
  </bookViews>
  <sheets>
    <sheet name="Time Sheet Planner" sheetId="1832" r:id="rId1"/>
    <sheet name="Hidden Backup of Old Backup" sheetId="1836" state="veryHidden" r:id="rId2"/>
    <sheet name="Hidden Backup of Main" sheetId="1981" state="veryHidden" r:id="rId3"/>
    <sheet name="Time Off Form" sheetId="1982" r:id="rId4"/>
    <sheet name="User Preferences" sheetId="5" r:id="rId5"/>
    <sheet name="Changelog" sheetId="8" r:id="rId6"/>
    <sheet name="PeopleSoft" sheetId="1709" r:id="rId7"/>
    <sheet name="References" sheetId="1983" r:id="rId8"/>
  </sheets>
  <functionGroups builtInGroupCount="17"/>
  <calcPr calcId="145621"/>
</workbook>
</file>

<file path=xl/calcChain.xml><?xml version="1.0" encoding="utf-8"?>
<calcChain xmlns="http://schemas.openxmlformats.org/spreadsheetml/2006/main">
  <c r="I14" i="1832" l="1"/>
  <c r="H14" i="1832" s="1"/>
  <c r="H13" i="1832"/>
  <c r="H12" i="1832"/>
  <c r="M4" i="1832"/>
  <c r="L10" i="1832"/>
  <c r="I12" i="1832" l="1"/>
  <c r="I13" i="1832"/>
  <c r="H11" i="1832"/>
  <c r="I11" i="1832" s="1"/>
  <c r="M9" i="1832"/>
  <c r="D9" i="5" l="1"/>
  <c r="L12" i="1832" l="1"/>
  <c r="L13" i="1832"/>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M3" i="1832" l="1"/>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M8" i="1832"/>
  <c r="M7" i="1832"/>
  <c r="M6" i="1832"/>
  <c r="M5" i="1832"/>
  <c r="A22" i="1836" l="1"/>
  <c r="A23" i="1836" s="1"/>
  <c r="B21" i="1836"/>
  <c r="B22" i="1836" s="1"/>
  <c r="A24" i="1836" l="1"/>
  <c r="C23" i="1836"/>
  <c r="C24" i="1836" l="1"/>
  <c r="B24" i="1836"/>
  <c r="D3" i="5" l="1"/>
  <c r="B7" i="5"/>
  <c r="L11" i="1832" l="1"/>
  <c r="K16" i="1836"/>
  <c r="M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<sst xmlns="http://schemas.openxmlformats.org/spreadsheetml/2006/main" count="201" uniqueCount="143">
  <si>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</si>
  <si>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</si>
  <si>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</si>
  <si>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</si>
  <si>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</si>
  <si>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</si>
  <si>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</si>
  <si>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</si>
  <si>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</si>
  <si>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</si>
  <si>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</si>
  <si>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</si>
  <si>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</si>
  <si>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</si>
  <si>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</si>
  <si>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</si>
  <si>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</si>
  <si>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</si>
  <si>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</si>
  <si>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</si>
  <si>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</si>
  <si>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</si>
  <si>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</si>
  <si>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</si>
  <si>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</si>
  <si>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</si>
  <si>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</si>
  <si>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</si>
  <si>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</si>
  <si>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</si>
  <si>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</si>
  <si>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</si>
  <si>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</si>
  <si>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</si>
  <si>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</si>
  <si>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</si>
  <si>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</si>
  <si>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</si>
  <si>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</si>
  <si>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</si>
  <si>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</si>
  <si>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</si>
  <si>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</si>
  <si>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</si>
  <si>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</si>
  <si>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</si>
  <si>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</si>
  <si>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</si>
  <si>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</si>
  <si>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</si>
  <si>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</si>
  <si>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</si>
  <si>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</si>
  <si>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</si>
  <si>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</si>
  <si>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</si>
  <si>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</si>
  <si>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</si>
  <si>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</si>
  <si>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</si>
  <si>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</si>
  <si>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</si>
  <si>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</si>
  <si>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</si>
  <si>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</si>
  <si>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</si>
  <si>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</si>
  <si>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</si>
  <si>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</si>
  <si>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</si>
  <si>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</si>
  <si>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</si>
  <si>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</si>
  <si>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</si>
  <si>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</si>
  <si>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</si>
  <si>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</si>
  <si>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</si>
  <si>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</si>
  <si>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</si>
  <si>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</si>
  <si>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</si>
  <si>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</si>
  <si>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</si>
  <si>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</si>
  <si>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</si>
  <si>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</si>
  <si>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</si>
  <si>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</si>
  <si>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</si>
  <si>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</si>
  <si>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</si>
  <si>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</si>
  <si>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</si>
  <si>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</si>
  <si>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</si>
  <si>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</si>
  <si>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</si>
  <si>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</si>
  <si>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</si>
  <si>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</si>
  <si>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</si>
  <si>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</si>
  <si>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</si>
  <si>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</si>
  <si>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</si>
  <si>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</si>
  <si>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</si>
  <si>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</si>
  <si>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</si>
  <si>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</si>
  <si>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</si>
  <si>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</si>
  <si>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</si>
  <si>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</si>
  <si>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</si>
  <si>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</si>
  <si>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</si>
  <si>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</si>
  <si>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</si>
  <si>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</si>
  <si>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</si>
  <si>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</si>
  <si>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</si>
  <si>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</si>
  <si>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</si>
  <si>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</si>
  <si>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</si>
  <si>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</si>
  <si>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</si>
  <si>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Ashleigh Foy</t>
  </si>
  <si>
    <t>Rebecca Drekmann</t>
  </si>
  <si>
    <t>Jake Bathman</t>
  </si>
  <si>
    <t>Lacie Reitmeyer</t>
  </si>
  <si>
    <t>Steve Wasserman</t>
  </si>
  <si>
    <t>Shara Hegr</t>
  </si>
  <si>
    <t>Oscar Martinez</t>
  </si>
  <si>
    <t>Michael Beal</t>
  </si>
  <si>
    <t>Lindsay Peterson</t>
  </si>
  <si>
    <t>Jason Lane</t>
  </si>
  <si>
    <t>EmployeeNames</t>
  </si>
  <si>
    <t>Choose name…</t>
  </si>
  <si>
    <t>Time Off Code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</si>
</sst>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0.###############"/>
    <numFmt numFmtId="165" formatCode="[$-F400]h:mm:ss\ AM/PM"/>
    <numFmt numFmtId="166" formatCode="h:mm\ AM/PM;@"/>
  </numFmts>
  <fonts count="14"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
      <sz val="12"/>
      <name val="Times New Roman"/>
      <family val="1"/>
    </font>
  </fonts>
  <fills count="6">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27">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4" fontId="1" fillId="0" borderId="0" xfId="0" applyNumberFormat="1" applyFont="1" applyFill="1" applyAlignment="1">
      <alignment horizontal="center" vertical="center" wrapText="1"/>
    </xf>
    <xf numFmtId="0" fontId="13" fillId="0" borderId="9" xfId="0" applyFont="1" applyBorder="1">
      <alignment vertical="center"/>
    </xf>
    <xf numFmtId="0" fontId="13" fillId="0" borderId="0" xfId="0" applyFont="1">
      <alignment vertical="center"/>
    </xf>
    <xf numFmtId="0" fontId="13" fillId="0" borderId="10" xfId="0" applyFont="1" applyBorder="1">
      <alignment vertical="center"/>
    </xf>
    <xf numFmtId="0" fontId="13" fillId="0" borderId="9" xfId="0" applyFont="1" applyBorder="1" applyAlignment="1"/>
    <xf numFmtId="14" fontId="11" fillId="0" borderId="7" xfId="0" applyNumberFormat="1" applyFont="1" applyBorder="1" applyAlignment="1">
      <alignment horizontal="center" vertical="center"/>
    </xf>
    <xf numFmtId="14" fontId="11" fillId="0" borderId="7" xfId="0" applyNumberFormat="1" applyFont="1" applyBorder="1" applyAlignment="1">
      <alignment horizontal="center"/>
    </xf>
    <xf numFmtId="0" fontId="11" fillId="0" borderId="0" xfId="0" applyFont="1" applyBorder="1">
      <alignment vertical="center"/>
    </xf>
    <xf numFmtId="166" fontId="11" fillId="0" borderId="7" xfId="0" applyNumberFormat="1" applyFont="1" applyBorder="1" applyAlignment="1">
      <alignment horizontal="center" vertical="center"/>
    </xf>
    <xf numFmtId="0" fontId="11" fillId="0" borderId="0" xfId="0" applyFont="1" applyAlignment="1">
      <alignment horizontal="center" vertical="center"/>
    </xf>
    <xf numFmtId="2" fontId="11" fillId="0" borderId="7" xfId="0" applyNumberFormat="1" applyFont="1" applyBorder="1" applyAlignment="1">
      <alignment horizontal="center"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Fill="1" applyAlignment="1">
      <alignment horizontal="center"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 fillId="4" borderId="0" xfId="0" applyFont="1" applyFill="1" applyAlignment="1">
      <alignment horizontal="center" vertical="center"/>
    </xf>
    <xf numFmtId="0" fontId="1" fillId="5" borderId="0" xfId="0" applyFont="1" applyFill="1" applyAlignment="1">
      <alignment horizontal="center" vertical="center"/>
    </xf>
  </cellXfs>
  <cellStyles count="3">
    <cellStyle name="Comma" xfId="1" builtinId="3"/>
    <cellStyle name="Hyperlink" xfId="2" builtinId="8"/>
    <cellStyle name="Normal" xfId="0" builtinId="0"/>
  </cellStyles>
  <dxfs count="33">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1</xdr:row>
          <xdr:rowOff>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0</xdr:row>
          <xdr:rowOff>0</xdr:rowOff>
        </xdr:from>
        <xdr:to>
          <xdr:col>12</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381000</xdr:colOff>
          <xdr:row>8</xdr:row>
          <xdr:rowOff>190500</xdr:rowOff>
        </xdr:from>
        <xdr:to>
          <xdr:col>2</xdr:col>
          <xdr:colOff>0</xdr:colOff>
          <xdr:row>10</xdr:row>
          <xdr:rowOff>57150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10</xdr:row>
          <xdr:rowOff>190500</xdr:rowOff>
        </xdr:from>
        <xdr:to>
          <xdr:col>2</xdr:col>
          <xdr:colOff>0</xdr:colOff>
          <xdr:row>12</xdr:row>
          <xdr:rowOff>57150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17</xdr:row>
          <xdr:rowOff>171450</xdr:rowOff>
        </xdr:from>
        <xdr:to>
          <xdr:col>2</xdr:col>
          <xdr:colOff>0</xdr:colOff>
          <xdr:row>19</xdr:row>
          <xdr:rowOff>38100</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19</xdr:row>
          <xdr:rowOff>180975</xdr:rowOff>
        </xdr:from>
        <xdr:to>
          <xdr:col>2</xdr:col>
          <xdr:colOff>0</xdr:colOff>
          <xdr:row>21</xdr:row>
          <xdr:rowOff>47625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30</xdr:row>
          <xdr:rowOff>180975</xdr:rowOff>
        </xdr:from>
        <xdr:to>
          <xdr:col>1</xdr:col>
          <xdr:colOff>0</xdr:colOff>
          <xdr:row>32</xdr:row>
          <xdr:rowOff>47625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33</xdr:row>
          <xdr:rowOff>180975</xdr:rowOff>
        </xdr:from>
        <xdr:to>
          <xdr:col>1</xdr:col>
          <xdr:colOff>0</xdr:colOff>
          <xdr:row>35</xdr:row>
          <xdr:rowOff>47625</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0</xdr:rowOff>
        </xdr:from>
        <xdr:to>
          <xdr:col>4</xdr:col>
          <xdr:colOff>0</xdr:colOff>
          <xdr:row>1</xdr:row>
          <xdr:rowOff>190500</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28575</xdr:rowOff>
        </xdr:from>
        <xdr:to>
          <xdr:col>11</xdr:col>
          <xdr:colOff>28575</xdr:colOff>
          <xdr:row>6</xdr:row>
          <xdr:rowOff>85725</xdr:rowOff>
        </xdr:to>
        <xdr:sp macro="" textlink="">
          <xdr:nvSpPr>
            <xdr:cNvPr id="1397775" name="btnPrintTimeOffForm" hidden="1">
              <a:extLst>
                <a:ext uri="{63B3BB69-23CF-44E3-9099-C40C66FF867C}">
                  <a14:compatExt spid="_x0000_s13977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123825</xdr:colOff>
          <xdr:row>1</xdr:row>
          <xdr:rowOff>180975</xdr:rowOff>
        </xdr:from>
        <xdr:to>
          <xdr:col>12</xdr:col>
          <xdr:colOff>180975</xdr:colOff>
          <xdr:row>5</xdr:row>
          <xdr:rowOff>190500</xdr:rowOff>
        </xdr:to>
        <xdr:sp macro="" textlink="">
          <xdr:nvSpPr>
            <xdr:cNvPr id="1397777" name="lblPrintLabel" hidden="1">
              <a:extLst>
                <a:ext uri="{63B3BB69-23CF-44E3-9099-C40C66FF867C}">
                  <a14:compatExt spid="_x0000_s1397777"/>
                </a:ext>
              </a:extLst>
            </xdr:cNvPr>
            <xdr:cNvSpPr/>
          </xdr:nvSpPr>
          <xdr:spPr>
            <a:xfrm>
              <a:off x="0" y="0"/>
              <a:ext cx="0" cy="0"/>
            </a:xfrm>
            <a:prstGeom prst="rect">
              <a:avLst/>
            </a:prstGeom>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8.xml"/><Relationship Id="rId3" Type="http://schemas.openxmlformats.org/officeDocument/2006/relationships/vmlDrawing" Target="../drawings/vmlDrawing4.vml"/><Relationship Id="rId7" Type="http://schemas.openxmlformats.org/officeDocument/2006/relationships/image" Target="../media/image3.emf"/><Relationship Id="rId12" Type="http://schemas.openxmlformats.org/officeDocument/2006/relationships/control" Target="../activeX/activeX7.xml"/><Relationship Id="rId2" Type="http://schemas.openxmlformats.org/officeDocument/2006/relationships/drawing" Target="../drawings/drawing4.xml"/><Relationship Id="rId16" Type="http://schemas.openxmlformats.org/officeDocument/2006/relationships/image" Target="../media/image5.emf"/><Relationship Id="rId1" Type="http://schemas.openxmlformats.org/officeDocument/2006/relationships/printerSettings" Target="../printerSettings/printerSettings4.bin"/><Relationship Id="rId6" Type="http://schemas.openxmlformats.org/officeDocument/2006/relationships/control" Target="../activeX/activeX3.xml"/><Relationship Id="rId11" Type="http://schemas.openxmlformats.org/officeDocument/2006/relationships/control" Target="../activeX/activeX6.xml"/><Relationship Id="rId5" Type="http://schemas.openxmlformats.org/officeDocument/2006/relationships/image" Target="../media/image2.emf"/><Relationship Id="rId15" Type="http://schemas.openxmlformats.org/officeDocument/2006/relationships/control" Target="../activeX/activeX10.xml"/><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4.emf"/><Relationship Id="rId14" Type="http://schemas.openxmlformats.org/officeDocument/2006/relationships/control" Target="../activeX/activeX9.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N195"/>
  <sheetViews>
    <sheetView tabSelected="1" zoomScale="110" zoomScaleNormal="110" workbookViewId="0">
      <selection activeCell="B3" sqref="B3"/>
    </sheetView>
  </sheetViews>
  <sheetFormatPr defaultColWidth="17.140625" defaultRowHeight="12.75" customHeight="1" x14ac:dyDescent="0.2"/>
  <cols>
    <col min="1" max="1" width="12.85546875" customWidth="1"/>
    <col min="2" max="7" width="11.42578125" customWidth="1"/>
    <col min="8" max="8" width="9.140625" customWidth="1"/>
    <col min="9" max="9" width="7.7109375" customWidth="1"/>
    <col min="10" max="10" width="3" hidden="1" customWidth="1"/>
    <col min="11" max="11" width="1.7109375" hidden="1" customWidth="1"/>
    <col min="12" max="12" width="26.7109375" customWidth="1"/>
    <col min="13" max="13" width="34.140625" customWidth="1"/>
    <col min="14" max="14" width="25" customWidth="1"/>
    <col min="15" max="24" width="17.140625" customWidth="1"/>
  </cols>
  <sheetData>
    <row r="1" spans="1:14" ht="51" x14ac:dyDescent="0.2">
      <c r="A1" s="69" t="s">
        <v>103</v>
      </c>
      <c r="B1" s="68">
        <v>40</v>
      </c>
    </row>
    <row r="2" spans="1:14" ht="26.25" thickBot="1" x14ac:dyDescent="0.25">
      <c r="A2" s="85"/>
      <c r="B2" s="2" t="s">
        <v>4</v>
      </c>
      <c r="C2" s="2" t="s">
        <v>11</v>
      </c>
      <c r="D2" s="2" t="s">
        <v>13</v>
      </c>
      <c r="E2" s="2" t="s">
        <v>0</v>
      </c>
      <c r="F2" s="2" t="s">
        <v>4</v>
      </c>
      <c r="G2" s="2" t="s">
        <v>0</v>
      </c>
      <c r="H2" s="2" t="s">
        <v>142</v>
      </c>
      <c r="I2" s="2" t="s">
        <v>105</v>
      </c>
      <c r="J2" s="58"/>
      <c r="K2" s="2"/>
      <c r="L2" s="3" t="s">
        <v>104</v>
      </c>
      <c r="M2" s="16" t="s">
        <v>16</v>
      </c>
      <c r="N2" s="12" t="s">
        <v>18</v>
      </c>
    </row>
    <row r="3" spans="1:14" x14ac:dyDescent="0.2">
      <c r="A3" s="87" t="s">
        <v>9</v>
      </c>
      <c r="B3" s="20"/>
      <c r="C3" s="21"/>
      <c r="D3" s="21"/>
      <c r="E3" s="21"/>
      <c r="F3" s="21"/>
      <c r="G3" s="64"/>
      <c r="H3" s="22"/>
      <c r="I3" s="22"/>
      <c r="J3" s="23"/>
      <c r="K3" s="24"/>
      <c r="L3" s="77"/>
      <c r="M3" s="26" t="str">
        <f t="shared" ref="M3:M8" si="0">IF(COUNTA(B3:G3)=0,"",CONCATENATE(IF((L3=""),"&lt;--- Incorrect or incomplete entries. ",""),IF(AND(L3&gt;8,I3&gt;0)," You're over 8 hours and have entered time off. Are you sure?",""),IF(AND(OR(E3&lt;B3,D3&lt;C3,G3&lt;F3,AND(F3&lt;B3,F3&gt;0),AND(G3&lt;B3,G3&gt;0)),ISEVEN(COUNTA(B3:G3)),COUNTA(B3:G3)&gt;2),"Make sure to enter time in 24-hour format (e.g. 15:45 for 3:45pm)","")))</f>
        <v/>
      </c>
      <c r="N3" s="27"/>
    </row>
    <row r="4" spans="1:14" x14ac:dyDescent="0.2">
      <c r="A4" s="87" t="s">
        <v>10</v>
      </c>
      <c r="B4" s="36"/>
      <c r="C4" s="37"/>
      <c r="D4" s="37"/>
      <c r="E4" s="37"/>
      <c r="F4" s="66"/>
      <c r="G4" s="37"/>
      <c r="H4" s="30"/>
      <c r="I4" s="30"/>
      <c r="J4" s="32"/>
      <c r="K4" s="38"/>
      <c r="L4" s="79"/>
      <c r="M4" s="34" t="str">
        <f>IF(COUNTA(B4:G4)=0,"",CONCATENATE(IF((L4=""),"&lt;--- Incorrect or incomplete entries. ",""),IF(AND(L4&gt;8,I4&gt;0)," You're over 8 hours and have entered time off. Are you sure?",""),IF(AND(OR(E4&lt;B4,D4&lt;C4,G4&lt;F4,AND(F4&lt;B4,F4&gt;0),AND(G4&lt;B4,G4&gt;0)),ISEVEN(COUNTA(B4:G4)),COUNTA(B4:G4)&gt;2),"Make sure to enter time in 24-hour format (e.g. 15:45 for 3:45pm)","")))</f>
        <v/>
      </c>
      <c r="N4" s="40"/>
    </row>
    <row r="5" spans="1:14" x14ac:dyDescent="0.2">
      <c r="A5" s="87" t="s">
        <v>12</v>
      </c>
      <c r="B5" s="36"/>
      <c r="C5" s="37"/>
      <c r="D5" s="37"/>
      <c r="E5" s="37"/>
      <c r="F5" s="37"/>
      <c r="G5" s="37"/>
      <c r="H5" s="30"/>
      <c r="I5" s="30"/>
      <c r="J5" s="32"/>
      <c r="K5" s="38">
        <v>14</v>
      </c>
      <c r="L5" s="79"/>
      <c r="M5" s="34" t="str">
        <f t="shared" si="0"/>
        <v/>
      </c>
      <c r="N5" s="40"/>
    </row>
    <row r="6" spans="1:14" x14ac:dyDescent="0.2">
      <c r="A6" s="87" t="s">
        <v>8</v>
      </c>
      <c r="B6" s="36"/>
      <c r="C6" s="37"/>
      <c r="D6" s="37"/>
      <c r="E6" s="37"/>
      <c r="F6" s="37"/>
      <c r="G6" s="37"/>
      <c r="H6" s="30"/>
      <c r="I6" s="30"/>
      <c r="J6" s="32"/>
      <c r="K6" s="38"/>
      <c r="L6" s="79"/>
      <c r="M6" s="34" t="str">
        <f t="shared" si="0"/>
        <v/>
      </c>
      <c r="N6" s="40"/>
    </row>
    <row r="7" spans="1:14" x14ac:dyDescent="0.2">
      <c r="A7" s="87" t="s">
        <v>14</v>
      </c>
      <c r="B7" s="36"/>
      <c r="C7" s="37"/>
      <c r="D7" s="37"/>
      <c r="E7" s="37"/>
      <c r="F7" s="37"/>
      <c r="G7" s="37"/>
      <c r="H7" s="30"/>
      <c r="I7" s="56"/>
      <c r="J7" s="32"/>
      <c r="K7" s="38"/>
      <c r="L7" s="79"/>
      <c r="M7" s="34" t="str">
        <f t="shared" si="0"/>
        <v/>
      </c>
      <c r="N7" s="40"/>
    </row>
    <row r="8" spans="1:14" x14ac:dyDescent="0.2">
      <c r="A8" s="86" t="s">
        <v>7</v>
      </c>
      <c r="B8" s="36"/>
      <c r="C8" s="37"/>
      <c r="D8" s="37"/>
      <c r="E8" s="37"/>
      <c r="F8" s="37"/>
      <c r="G8" s="37"/>
      <c r="H8" s="56"/>
      <c r="I8" s="56"/>
      <c r="J8" s="32"/>
      <c r="K8" s="38"/>
      <c r="L8" s="79"/>
      <c r="M8" s="34" t="str">
        <f t="shared" si="0"/>
        <v/>
      </c>
      <c r="N8" s="40"/>
    </row>
    <row r="9" spans="1:14" s="11" customFormat="1" ht="13.5" thickBot="1" x14ac:dyDescent="0.25">
      <c r="A9" s="88" t="s">
        <v>93</v>
      </c>
      <c r="B9" s="41"/>
      <c r="C9" s="42"/>
      <c r="D9" s="42"/>
      <c r="E9" s="42"/>
      <c r="F9" s="42"/>
      <c r="G9" s="42"/>
      <c r="H9" s="43"/>
      <c r="I9" s="43"/>
      <c r="J9" s="44"/>
      <c r="K9" s="45"/>
      <c r="L9" s="80"/>
      <c r="M9" s="47" t="str">
        <f>CONCATENATE(IF(ISODD(COUNTA(B9:G9)),"&lt;--- Incorrect or incomplete entries. ",""),IF(I9&gt;0," You've entered time off for Saturday. Are you sure?",""),IF(AND(OR(E9&lt;B9,D9&lt;C9,G9&lt;F9,AND(F9&lt;B9,F9&gt;0),AND(G9&lt;B9,G9&gt;0),C9&lt;B9),ISEVEN(COUNTA(B9:G9)),COUNTA(B9:G9)&gt;2),"Make sure to enter time in 24-hour format (e.g. 15:45 for 3:45pm)",""))</f>
        <v/>
      </c>
      <c r="N9" s="48"/>
    </row>
    <row r="10" spans="1:14" x14ac:dyDescent="0.2">
      <c r="A10" s="73"/>
      <c r="B10" s="60"/>
      <c r="C10" s="61"/>
      <c r="D10" s="61"/>
      <c r="E10" s="61"/>
      <c r="F10" s="61"/>
      <c r="J10" s="2"/>
      <c r="K10" s="2"/>
      <c r="L10" s="75">
        <f>SUM(L3:L9)</f>
        <v>0</v>
      </c>
      <c r="M10" s="26"/>
      <c r="N10" s="76"/>
    </row>
    <row r="11" spans="1:14" ht="54.75" customHeight="1" x14ac:dyDescent="0.2">
      <c r="B11" s="6"/>
      <c r="C11" s="6"/>
      <c r="D11" s="6"/>
      <c r="E11" s="6"/>
      <c r="F11" s="6"/>
      <c r="H11" s="87" t="str">
        <f>IF((SUM(I3:I9)=0),"","Total time off used:")</f>
        <v/>
      </c>
      <c r="I11" s="104" t="str">
        <f>IF((H11=""),"",CONCATENATE(SUM(I3:I7)," hours"))</f>
        <v/>
      </c>
      <c r="J11" s="2"/>
      <c r="K11" s="2"/>
      <c r="L11" s="13" t="str">
        <f>IF((L10=B1),"",IF((L10&lt;B1),CONCATENATE("You're short: need to use ",MROUND((B1-L10),0.25)," hrs. of comp time or PTO"),IF('User Preferences'!B7=0,"You're over on time, but you are ineligible for comp time accrual.",CONCATENATE("Gained ",MROUND((ABS((B1-L10))*'User Preferences'!B7),0.005)," hrs. of comp time"))))</f>
        <v>You're short: need to use 40 hrs. of comp time or PTO</v>
      </c>
      <c r="M11" s="17" t="str">
        <f>CONCATENATE(IF(COUNTIF(L3:L7,"&gt;" &amp;0)=5,"","NOTE: Not all time entries have been filled for Monday through Friday. Check entries for errors. "),IF(AND((L10-B1)&gt;0,I11&gt;0, I11&lt;&gt;""),"Woah, look out! You've used some time off, but gained "&amp; MROUND((ABS((B1-L10))*'User Preferences'!B7),0.005) &amp; " hrs. of comp time. Check those entries.",""))</f>
        <v xml:space="preserve">NOTE: Not all time entries have been filled for Monday through Friday. Check entries for errors. </v>
      </c>
    </row>
    <row r="12" spans="1:14" x14ac:dyDescent="0.2">
      <c r="B12" s="67"/>
      <c r="C12" s="67"/>
      <c r="D12" s="67"/>
      <c r="E12" s="67"/>
      <c r="F12" s="67"/>
      <c r="H12" s="115" t="str">
        <f>IF(SUM(I3:I9)&gt;0,"PTO:","")</f>
        <v/>
      </c>
      <c r="I12" s="116" t="str">
        <f>IF(SUMIF(H3:H9,"=PTO",I3:I9)&gt;0,SUMIF(H3:H9,"=PTO",I3:I9),IF(AND(SUM(I3:I9)&gt;0,I14&gt;0),"?",""))</f>
        <v/>
      </c>
      <c r="J12" s="5"/>
      <c r="K12" s="5"/>
      <c r="L12" s="3" t="str">
        <f>IF(SUM(I3:I9)&gt;=(B1*0.8),"Vacation week, huh?","")</f>
        <v/>
      </c>
      <c r="M12" s="4"/>
    </row>
    <row r="13" spans="1:14" x14ac:dyDescent="0.2">
      <c r="B13" s="89"/>
      <c r="C13" s="6"/>
      <c r="D13" s="6"/>
      <c r="E13" s="6"/>
      <c r="F13" s="67"/>
      <c r="G13" s="90"/>
      <c r="H13" s="115" t="str">
        <f>IF(SUM(I3:I9)&gt;0,"Comp:","")</f>
        <v/>
      </c>
      <c r="I13" s="117" t="str">
        <f>IF(SUMIF(H3:H9,"=Comp",I3:I9)&gt;0,SUMIF(H3:H9,"=Comp",I3:I9),IF(AND(SUM(I3:I9)&gt;0,I14&gt;0),"?",""))</f>
        <v/>
      </c>
      <c r="L13" s="13" t="str">
        <f>IF(OR(L10=0,L10&gt;=B1),"",IF(ISBLANK(B7)=FALSE,"",CONCATENATE("On track for ~", ((COUNTBLANK(L3:L7)-4)*MROUND(AVERAGE(L3:L7),0.25))+L10," hrs. total")))</f>
        <v/>
      </c>
      <c r="M13" s="19"/>
    </row>
    <row r="14" spans="1:14" x14ac:dyDescent="0.2">
      <c r="A14" s="91"/>
      <c r="B14" s="92"/>
      <c r="C14" s="92"/>
      <c r="D14" s="71"/>
      <c r="G14" s="14"/>
      <c r="H14" s="115" t="str">
        <f>IF(AND(SUM(I3:I9)&gt;0,I14&gt;0,I14&lt;&gt;""),"Other:","")</f>
        <v/>
      </c>
      <c r="I14" s="116" t="str">
        <f>IF(SUM(I3:I9)-SUMIF(H3:H9,"=PTO",I3:I9)-SUMIF(H3:H9,"=Comp",I3:I9)&gt;0,SUM(I3:I9)-SUMIF(H3:H9,"=PTO",I3:I9)-SUMIF(H3:H9,"=Comp",I3:I9),"")</f>
        <v/>
      </c>
      <c r="L14" s="3"/>
      <c r="M14" s="4"/>
    </row>
    <row r="15" spans="1:14" x14ac:dyDescent="0.2">
      <c r="B15" s="67"/>
      <c r="G15" s="14"/>
      <c r="H15" s="14"/>
      <c r="I15" s="15"/>
      <c r="L15" s="3"/>
      <c r="M15" s="4"/>
    </row>
    <row r="16" spans="1:14" x14ac:dyDescent="0.2">
      <c r="A16" s="1"/>
      <c r="B16" s="2"/>
      <c r="G16" s="14"/>
      <c r="H16" s="14"/>
      <c r="I16" s="18"/>
      <c r="J16" s="15"/>
      <c r="L16" s="3"/>
      <c r="M16" s="4"/>
    </row>
    <row r="17" spans="1:13" x14ac:dyDescent="0.2">
      <c r="A17" s="1"/>
      <c r="B17" s="2"/>
      <c r="L17" s="3"/>
      <c r="M17" s="4"/>
    </row>
    <row r="18" spans="1:13" x14ac:dyDescent="0.2">
      <c r="A18" s="1"/>
      <c r="B18" s="12"/>
      <c r="C18" s="93"/>
      <c r="D18" s="94"/>
      <c r="E18" s="94"/>
      <c r="F18" s="94"/>
      <c r="G18" s="94"/>
      <c r="H18" s="94"/>
      <c r="I18" s="94"/>
      <c r="J18" s="94"/>
      <c r="K18" s="72"/>
      <c r="L18" s="3"/>
      <c r="M18" s="4"/>
    </row>
    <row r="19" spans="1:13" x14ac:dyDescent="0.2">
      <c r="A19" s="1"/>
      <c r="B19" s="9"/>
      <c r="C19" s="93"/>
      <c r="D19" s="94"/>
      <c r="E19" s="94"/>
      <c r="F19" s="94"/>
      <c r="L19" s="3"/>
      <c r="M19" s="4"/>
    </row>
    <row r="20" spans="1:13" x14ac:dyDescent="0.2">
      <c r="L20" s="3"/>
      <c r="M20" s="4"/>
    </row>
    <row r="21" spans="1:13" x14ac:dyDescent="0.2">
      <c r="L21" s="3"/>
      <c r="M21" s="4"/>
    </row>
    <row r="22" spans="1:13" x14ac:dyDescent="0.2">
      <c r="A22" s="10"/>
      <c r="B22" s="95"/>
      <c r="C22" s="95"/>
      <c r="D22" s="95"/>
      <c r="E22" s="95"/>
      <c r="F22" s="95"/>
      <c r="G22" s="96"/>
      <c r="H22" s="96"/>
      <c r="I22" s="96"/>
      <c r="L22" s="3"/>
      <c r="M22" s="4"/>
    </row>
    <row r="23" spans="1:13" x14ac:dyDescent="0.2">
      <c r="B23" s="97"/>
      <c r="C23" s="97"/>
      <c r="D23" s="97"/>
      <c r="E23" s="97"/>
      <c r="F23" s="97"/>
      <c r="G23" s="97"/>
      <c r="H23" s="97"/>
      <c r="I23" s="97"/>
      <c r="L23" s="3"/>
      <c r="M23" s="4"/>
    </row>
    <row r="24" spans="1:13" x14ac:dyDescent="0.2">
      <c r="B24" s="95"/>
      <c r="C24" s="95"/>
      <c r="D24" s="95"/>
      <c r="E24" s="95"/>
      <c r="F24" s="95"/>
      <c r="G24" s="95"/>
      <c r="H24" s="95"/>
      <c r="I24" s="95"/>
      <c r="L24" s="3"/>
      <c r="M24" s="4"/>
    </row>
    <row r="25" spans="1:13" x14ac:dyDescent="0.2">
      <c r="B25" s="95"/>
      <c r="C25" s="95"/>
      <c r="D25" s="95"/>
      <c r="E25" s="95"/>
      <c r="F25" s="95"/>
      <c r="G25" s="95"/>
      <c r="H25" s="95"/>
      <c r="I25" s="95"/>
      <c r="L25" s="3"/>
      <c r="M25" s="4"/>
    </row>
    <row r="26" spans="1:13" x14ac:dyDescent="0.2">
      <c r="L26" s="3"/>
      <c r="M26" s="4"/>
    </row>
    <row r="27" spans="1:13" x14ac:dyDescent="0.2">
      <c r="L27" s="3"/>
      <c r="M27" s="4"/>
    </row>
    <row r="28" spans="1:13" x14ac:dyDescent="0.2">
      <c r="L28" s="3"/>
      <c r="M28" s="4"/>
    </row>
    <row r="29" spans="1:13" x14ac:dyDescent="0.2">
      <c r="L29" s="3"/>
      <c r="M29" s="4"/>
    </row>
    <row r="30" spans="1:13" x14ac:dyDescent="0.2">
      <c r="L30" s="3"/>
      <c r="M30" s="4"/>
    </row>
    <row r="31" spans="1:13" x14ac:dyDescent="0.2">
      <c r="L31" s="3"/>
      <c r="M31" s="4"/>
    </row>
    <row r="32" spans="1:13" x14ac:dyDescent="0.2">
      <c r="L32" s="3"/>
      <c r="M32" s="4"/>
    </row>
    <row r="33" spans="12:13" x14ac:dyDescent="0.2">
      <c r="L33" s="3"/>
      <c r="M33" s="4"/>
    </row>
    <row r="34" spans="12:13" x14ac:dyDescent="0.2">
      <c r="L34" s="3"/>
      <c r="M34" s="4"/>
    </row>
    <row r="35" spans="12:13" x14ac:dyDescent="0.2">
      <c r="L35" s="3"/>
      <c r="M35" s="4"/>
    </row>
    <row r="36" spans="12:13" x14ac:dyDescent="0.2">
      <c r="L36" s="3"/>
      <c r="M36" s="4"/>
    </row>
    <row r="37" spans="12:13" x14ac:dyDescent="0.2">
      <c r="L37" s="3"/>
      <c r="M37" s="4"/>
    </row>
    <row r="38" spans="12:13" x14ac:dyDescent="0.2">
      <c r="L38" s="3"/>
      <c r="M38" s="4"/>
    </row>
    <row r="39" spans="12:13" x14ac:dyDescent="0.2">
      <c r="L39" s="3"/>
      <c r="M39" s="4"/>
    </row>
    <row r="40" spans="12:13" x14ac:dyDescent="0.2">
      <c r="L40" s="3"/>
      <c r="M40" s="4"/>
    </row>
    <row r="41" spans="12:13" x14ac:dyDescent="0.2">
      <c r="L41" s="3"/>
      <c r="M41" s="4"/>
    </row>
    <row r="42" spans="12:13" x14ac:dyDescent="0.2">
      <c r="L42" s="3"/>
      <c r="M42" s="4"/>
    </row>
    <row r="43" spans="12:13" x14ac:dyDescent="0.2">
      <c r="L43" s="3"/>
      <c r="M43" s="4"/>
    </row>
    <row r="44" spans="12:13" x14ac:dyDescent="0.2">
      <c r="L44" s="3"/>
      <c r="M44" s="4"/>
    </row>
    <row r="45" spans="12:13" x14ac:dyDescent="0.2">
      <c r="L45" s="3"/>
      <c r="M45" s="4"/>
    </row>
    <row r="46" spans="12:13" x14ac:dyDescent="0.2">
      <c r="L46" s="3"/>
      <c r="M46" s="4"/>
    </row>
    <row r="47" spans="12:13" x14ac:dyDescent="0.2">
      <c r="L47" s="3"/>
      <c r="M47" s="4"/>
    </row>
    <row r="48" spans="12:13" x14ac:dyDescent="0.2">
      <c r="L48" s="3"/>
      <c r="M48" s="4"/>
    </row>
    <row r="49" spans="12:13" x14ac:dyDescent="0.2">
      <c r="L49" s="3"/>
      <c r="M49" s="4"/>
    </row>
    <row r="50" spans="12:13" x14ac:dyDescent="0.2">
      <c r="L50" s="3"/>
      <c r="M50" s="4"/>
    </row>
    <row r="51" spans="12:13" x14ac:dyDescent="0.2">
      <c r="L51" s="3"/>
      <c r="M51" s="4"/>
    </row>
    <row r="52" spans="12:13" x14ac:dyDescent="0.2">
      <c r="L52" s="3"/>
      <c r="M52" s="4"/>
    </row>
    <row r="53" spans="12:13" x14ac:dyDescent="0.2">
      <c r="L53" s="3"/>
      <c r="M53" s="4"/>
    </row>
    <row r="54" spans="12:13" x14ac:dyDescent="0.2">
      <c r="L54" s="3"/>
      <c r="M54" s="4"/>
    </row>
    <row r="55" spans="12:13" x14ac:dyDescent="0.2">
      <c r="L55" s="3"/>
      <c r="M55" s="4"/>
    </row>
    <row r="56" spans="12:13" x14ac:dyDescent="0.2">
      <c r="L56" s="3"/>
      <c r="M56" s="4"/>
    </row>
    <row r="57" spans="12:13" x14ac:dyDescent="0.2">
      <c r="L57" s="3"/>
      <c r="M57" s="4"/>
    </row>
    <row r="58" spans="12:13" x14ac:dyDescent="0.2">
      <c r="L58" s="3"/>
      <c r="M58" s="4"/>
    </row>
    <row r="59" spans="12:13" x14ac:dyDescent="0.2">
      <c r="L59" s="3"/>
      <c r="M59" s="4"/>
    </row>
    <row r="60" spans="12:13" x14ac:dyDescent="0.2">
      <c r="L60" s="3"/>
      <c r="M60" s="4"/>
    </row>
    <row r="61" spans="12:13" x14ac:dyDescent="0.2">
      <c r="L61" s="3"/>
      <c r="M61" s="4"/>
    </row>
    <row r="62" spans="12:13" x14ac:dyDescent="0.2">
      <c r="L62" s="3"/>
      <c r="M62" s="4"/>
    </row>
    <row r="63" spans="12:13" x14ac:dyDescent="0.2">
      <c r="L63" s="3"/>
      <c r="M63" s="4"/>
    </row>
    <row r="64" spans="12:13" x14ac:dyDescent="0.2">
      <c r="L64" s="3"/>
      <c r="M64" s="4"/>
    </row>
    <row r="65" spans="12:13" x14ac:dyDescent="0.2">
      <c r="L65" s="3"/>
      <c r="M65" s="4"/>
    </row>
    <row r="66" spans="12:13" x14ac:dyDescent="0.2">
      <c r="L66" s="3"/>
      <c r="M66" s="4"/>
    </row>
    <row r="67" spans="12:13" x14ac:dyDescent="0.2">
      <c r="L67" s="3"/>
      <c r="M67" s="4"/>
    </row>
    <row r="68" spans="12:13" x14ac:dyDescent="0.2">
      <c r="L68" s="3"/>
      <c r="M68" s="4"/>
    </row>
    <row r="69" spans="12:13" x14ac:dyDescent="0.2">
      <c r="L69" s="3"/>
      <c r="M69" s="4"/>
    </row>
    <row r="70" spans="12:13" x14ac:dyDescent="0.2">
      <c r="L70" s="3"/>
      <c r="M70" s="4"/>
    </row>
    <row r="71" spans="12:13" ht="12.75" customHeight="1" x14ac:dyDescent="0.2">
      <c r="L71" s="3"/>
      <c r="M71" s="4"/>
    </row>
    <row r="72" spans="12:13" ht="12.75" customHeight="1" x14ac:dyDescent="0.2">
      <c r="L72" s="3"/>
      <c r="M72" s="4"/>
    </row>
    <row r="73" spans="12:13" ht="12.75" customHeight="1" x14ac:dyDescent="0.2">
      <c r="L73" s="3"/>
      <c r="M73" s="4"/>
    </row>
    <row r="74" spans="12:13" ht="12.75" customHeight="1" x14ac:dyDescent="0.2">
      <c r="L74" s="3"/>
      <c r="M74" s="4"/>
    </row>
    <row r="75" spans="12:13" ht="12.75" customHeight="1" x14ac:dyDescent="0.2">
      <c r="L75" s="3"/>
      <c r="M75" s="4"/>
    </row>
    <row r="76" spans="12:13" ht="12.75" customHeight="1" x14ac:dyDescent="0.2">
      <c r="L76" s="3"/>
      <c r="M76" s="4"/>
    </row>
    <row r="77" spans="12:13" ht="12.75" customHeight="1" x14ac:dyDescent="0.2">
      <c r="L77" s="3"/>
      <c r="M77" s="4"/>
    </row>
    <row r="78" spans="12:13" ht="12.75" customHeight="1" x14ac:dyDescent="0.2">
      <c r="L78" s="3"/>
      <c r="M78" s="4"/>
    </row>
    <row r="79" spans="12:13" ht="12.75" customHeight="1" x14ac:dyDescent="0.2">
      <c r="L79" s="3"/>
      <c r="M79" s="4"/>
    </row>
    <row r="80" spans="12:13" ht="12.75" customHeight="1" x14ac:dyDescent="0.2">
      <c r="L80" s="3"/>
      <c r="M80" s="4"/>
    </row>
    <row r="81" spans="12:13" ht="12.75" customHeight="1" x14ac:dyDescent="0.2">
      <c r="L81" s="3"/>
      <c r="M81" s="4"/>
    </row>
    <row r="82" spans="12:13" ht="12.75" customHeight="1" x14ac:dyDescent="0.2">
      <c r="L82" s="3"/>
      <c r="M82" s="4"/>
    </row>
    <row r="83" spans="12:13" ht="12.75" customHeight="1" x14ac:dyDescent="0.2">
      <c r="L83" s="3"/>
      <c r="M83" s="4"/>
    </row>
    <row r="84" spans="12:13" ht="12.75" customHeight="1" x14ac:dyDescent="0.2">
      <c r="L84" s="3"/>
      <c r="M84" s="4"/>
    </row>
    <row r="85" spans="12:13" ht="12.75" customHeight="1" x14ac:dyDescent="0.2">
      <c r="L85" s="3"/>
      <c r="M85" s="4"/>
    </row>
    <row r="86" spans="12:13" ht="12.75" customHeight="1" x14ac:dyDescent="0.2">
      <c r="L86" s="3"/>
      <c r="M86" s="4"/>
    </row>
    <row r="87" spans="12:13" ht="12.75" customHeight="1" x14ac:dyDescent="0.2">
      <c r="L87" s="3"/>
      <c r="M87" s="4"/>
    </row>
    <row r="88" spans="12:13" ht="12.75" customHeight="1" x14ac:dyDescent="0.2">
      <c r="L88" s="3"/>
      <c r="M88" s="4"/>
    </row>
    <row r="89" spans="12:13" ht="12.75" customHeight="1" x14ac:dyDescent="0.2">
      <c r="L89" s="3"/>
      <c r="M89" s="4"/>
    </row>
    <row r="90" spans="12:13" ht="12.75" customHeight="1" x14ac:dyDescent="0.2">
      <c r="L90" s="3"/>
      <c r="M90" s="4"/>
    </row>
    <row r="91" spans="12:13" ht="12.75" customHeight="1" x14ac:dyDescent="0.2">
      <c r="L91" s="3"/>
      <c r="M91" s="4"/>
    </row>
    <row r="92" spans="12:13" ht="12.75" customHeight="1" x14ac:dyDescent="0.2">
      <c r="L92" s="3"/>
      <c r="M92" s="4"/>
    </row>
    <row r="93" spans="12:13" ht="12.75" customHeight="1" x14ac:dyDescent="0.2">
      <c r="L93" s="3"/>
      <c r="M93" s="4"/>
    </row>
    <row r="94" spans="12:13" ht="12.75" customHeight="1" x14ac:dyDescent="0.2">
      <c r="L94" s="3"/>
      <c r="M94" s="4"/>
    </row>
    <row r="95" spans="12:13" ht="12.75" customHeight="1" x14ac:dyDescent="0.2">
      <c r="L95" s="3"/>
      <c r="M95" s="4"/>
    </row>
    <row r="96" spans="12:13" ht="12.75" customHeight="1" x14ac:dyDescent="0.2">
      <c r="L96" s="3"/>
      <c r="M96" s="4"/>
    </row>
    <row r="97" spans="12:13" ht="12.75" customHeight="1" x14ac:dyDescent="0.2">
      <c r="L97" s="3"/>
      <c r="M97" s="4"/>
    </row>
    <row r="98" spans="12:13" ht="12.75" customHeight="1" x14ac:dyDescent="0.2">
      <c r="L98" s="3"/>
      <c r="M98" s="4"/>
    </row>
    <row r="99" spans="12:13" ht="12.75" customHeight="1" x14ac:dyDescent="0.2">
      <c r="L99" s="3"/>
      <c r="M99" s="4"/>
    </row>
    <row r="100" spans="12:13" ht="12.75" customHeight="1" x14ac:dyDescent="0.2">
      <c r="L100" s="3"/>
      <c r="M100" s="4"/>
    </row>
    <row r="101" spans="12:13" ht="12.75" customHeight="1" x14ac:dyDescent="0.2">
      <c r="L101" s="3"/>
      <c r="M101" s="4"/>
    </row>
    <row r="102" spans="12:13" ht="12.75" customHeight="1" x14ac:dyDescent="0.2">
      <c r="L102" s="3"/>
      <c r="M102" s="4"/>
    </row>
    <row r="103" spans="12:13" ht="12.75" customHeight="1" x14ac:dyDescent="0.2">
      <c r="L103" s="3"/>
      <c r="M103" s="4"/>
    </row>
    <row r="104" spans="12:13" ht="12.75" customHeight="1" x14ac:dyDescent="0.2">
      <c r="L104" s="3"/>
      <c r="M104" s="4"/>
    </row>
    <row r="195" spans="3:3" ht="12.75" customHeight="1" x14ac:dyDescent="0.2">
      <c r="C195" s="67"/>
    </row>
  </sheetData>
  <dataConsolidate/>
  <conditionalFormatting sqref="A14:C14">
    <cfRule type="cellIs" dxfId="32" priority="13" stopIfTrue="1" operator="notEqual">
      <formula>""</formula>
    </cfRule>
  </conditionalFormatting>
  <conditionalFormatting sqref="A19:B19">
    <cfRule type="cellIs" dxfId="31" priority="12" stopIfTrue="1" operator="notEqual">
      <formula>""</formula>
    </cfRule>
  </conditionalFormatting>
  <conditionalFormatting sqref="I3:J7">
    <cfRule type="containsBlanks" dxfId="30" priority="14" stopIfTrue="1">
      <formula>LEN(TRIM(I3))=0</formula>
    </cfRule>
  </conditionalFormatting>
  <conditionalFormatting sqref="B3:C3 E3:G3 B4 D4:G4 B5:G7">
    <cfRule type="containsBlanks" dxfId="29" priority="11" stopIfTrue="1">
      <formula>LEN(TRIM(B3))=0</formula>
    </cfRule>
  </conditionalFormatting>
  <conditionalFormatting sqref="D3">
    <cfRule type="containsBlanks" dxfId="28" priority="10" stopIfTrue="1">
      <formula>LEN(TRIM(D3))=0</formula>
    </cfRule>
  </conditionalFormatting>
  <conditionalFormatting sqref="I9:J9">
    <cfRule type="containsBlanks" dxfId="27" priority="9" stopIfTrue="1">
      <formula>LEN(TRIM(I9))=0</formula>
    </cfRule>
  </conditionalFormatting>
  <conditionalFormatting sqref="B9:G9">
    <cfRule type="containsBlanks" dxfId="26" priority="8" stopIfTrue="1">
      <formula>LEN(TRIM(B9))=0</formula>
    </cfRule>
  </conditionalFormatting>
  <conditionalFormatting sqref="I8:J8">
    <cfRule type="containsBlanks" dxfId="25" priority="7" stopIfTrue="1">
      <formula>LEN(TRIM(I8))=0</formula>
    </cfRule>
  </conditionalFormatting>
  <conditionalFormatting sqref="B8:G8">
    <cfRule type="containsBlanks" dxfId="24" priority="6" stopIfTrue="1">
      <formula>LEN(TRIM(B8))=0</formula>
    </cfRule>
  </conditionalFormatting>
  <conditionalFormatting sqref="C4">
    <cfRule type="containsBlanks" dxfId="23" priority="5" stopIfTrue="1">
      <formula>LEN(TRIM(C4))=0</formula>
    </cfRule>
  </conditionalFormatting>
  <conditionalFormatting sqref="H3">
    <cfRule type="containsBlanks" dxfId="22" priority="4" stopIfTrue="1">
      <formula>LEN(TRIM(H3))=0</formula>
    </cfRule>
  </conditionalFormatting>
  <conditionalFormatting sqref="H4:H7">
    <cfRule type="containsBlanks" dxfId="21" priority="3" stopIfTrue="1">
      <formula>LEN(TRIM(H4))=0</formula>
    </cfRule>
  </conditionalFormatting>
  <conditionalFormatting sqref="H8">
    <cfRule type="containsBlanks" dxfId="20" priority="2" stopIfTrue="1">
      <formula>LEN(TRIM(H8))=0</formula>
    </cfRule>
  </conditionalFormatting>
  <conditionalFormatting sqref="H9">
    <cfRule type="containsBlanks" dxfId="19" priority="1" stopIfTrue="1">
      <formula>LEN(TRIM(H9))=0</formula>
    </cfRule>
  </conditionalFormatting>
  <pageMargins left="0.75" right="0.75" top="1" bottom="1" header="0.5" footer="0.5"/>
  <pageSetup paperSize="9" orientation="portrait" horizontalDpi="300" verticalDpi="300" r:id="rId1"/>
  <headerFooter alignWithMargins="0"/>
  <ignoredErrors>
    <ignoredError sqref="L13" formulaRange="1"/>
  </ignoredErrors>
  <drawing r:id="rId2"/>
  <legacyDrawing r:id="rId3"/>
  <controls>
    <mc:AlternateContent xmlns:mc="http://schemas.openxmlformats.org/markup-compatibility/2006">
      <mc:Choice Requires="x14">
        <control shapeId="1189901" r:id="rId4" name="btnInstructions">
          <controlPr autoLine="0" r:id="rId5">
            <anchor moveWithCells="1">
              <from>
                <xdr:col>6</xdr:col>
                <xdr:colOff>9525</xdr:colOff>
                <xdr:row>0</xdr:row>
                <xdr:rowOff>0</xdr:rowOff>
              </from>
              <to>
                <xdr:col>7</xdr:col>
                <xdr:colOff>19050</xdr:colOff>
                <xdr:row>1</xdr:row>
                <xdr:rowOff>19050</xdr:rowOff>
              </to>
            </anchor>
          </controlPr>
        </control>
      </mc:Choice>
      <mc:Fallback>
        <control shapeId="1189901" r:id="rId4" name="btnInstructions"/>
      </mc:Fallback>
    </mc:AlternateContent>
    <mc:AlternateContent xmlns:mc="http://schemas.openxmlformats.org/markup-compatibility/2006">
      <mc:Choice Requires="x14">
        <control shapeId="1189889" r:id="rId6"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0" r:id="rId7" name="Button 2">
          <controlPr defaultSize="0" print="0" autoFill="0" autoPict="0" macro="[0]!PeopeSoftImport">
            <anchor moveWithCells="1" sizeWithCells="1">
              <from>
                <xdr:col>2</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189892" r:id="rId8"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9" name="Button 5">
          <controlPr defaultSize="0" print="0" autoFill="0" autoPict="0" macro="[0]!MaintenanceAndRepair">
            <anchor moveWithCells="1" sizeWithCells="1">
              <from>
                <xdr:col>12</xdr:col>
                <xdr:colOff>114300</xdr:colOff>
                <xdr:row>0</xdr:row>
                <xdr:rowOff>0</xdr:rowOff>
              </from>
              <to>
                <xdr:col>12</xdr:col>
                <xdr:colOff>1171575</xdr:colOff>
                <xdr:row>1</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19" t="str">
        <f>IF(K15&gt;=B1,"",IF(AND(COUNTIF(K3:K11,"&gt;=4")=4,COUNTIF(B9:B12,"&gt;0")&gt;2),CONCATENATE("Trying to hit ",B1," hours exactly? Estimate your final punch below"),""))</f>
        <v/>
      </c>
      <c r="B19" s="120"/>
      <c r="C19" s="120"/>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1" t="str">
        <f>IF((A23=""),"",IF(AND((ISBLANK(D11)=FALSE),(ISBLANK(C11)=FALSE)),"You've already entered in lunch punches for today. I'll use those numbers.","&lt;--- Enter today's lunch time as a decimal (e.g. 45 minutes would be .75). Entering nothing will default to 1 hour. You can enter 0 for no lunch."))</f>
        <v/>
      </c>
      <c r="D23" s="122"/>
      <c r="E23" s="122"/>
      <c r="F23" s="122"/>
      <c r="G23" s="122"/>
      <c r="H23" s="122"/>
      <c r="I23" s="122"/>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1" t="str">
        <f>IF((A24=""),"",IF((COUNTA(B11:D11)=2),"Looks like you've got only one lunch punch. Enter another to calculate",""))</f>
        <v/>
      </c>
      <c r="D24" s="122"/>
      <c r="E24" s="122"/>
      <c r="F24" s="122"/>
      <c r="K24" s="3"/>
      <c r="L24" s="4"/>
    </row>
    <row r="25" spans="1:12" ht="12.75" customHeight="1" x14ac:dyDescent="0.2">
      <c r="K25" s="3"/>
      <c r="L25" s="4"/>
    </row>
    <row r="26" spans="1:12" ht="12.75" customHeight="1" x14ac:dyDescent="0.2">
      <c r="K26" s="3"/>
      <c r="L26" s="4"/>
    </row>
    <row r="27" spans="1:12" ht="29.25" customHeight="1" x14ac:dyDescent="0.2">
      <c r="A27" s="10" t="s">
        <v>3</v>
      </c>
      <c r="B27" s="118" t="s">
        <v>5</v>
      </c>
      <c r="C27" s="118"/>
      <c r="D27" s="118"/>
      <c r="E27" s="118"/>
      <c r="F27" s="118"/>
      <c r="G27" s="123"/>
      <c r="H27" s="123"/>
      <c r="K27" s="3"/>
      <c r="L27" s="4"/>
    </row>
    <row r="28" spans="1:12" ht="28.5" customHeight="1" x14ac:dyDescent="0.2">
      <c r="B28" s="124" t="s">
        <v>17</v>
      </c>
      <c r="C28" s="124"/>
      <c r="D28" s="124"/>
      <c r="E28" s="124"/>
      <c r="F28" s="124"/>
      <c r="G28" s="124"/>
      <c r="H28" s="124"/>
      <c r="K28" s="3"/>
      <c r="L28" s="4"/>
    </row>
    <row r="29" spans="1:12" ht="41.25" customHeight="1" x14ac:dyDescent="0.2">
      <c r="B29" s="118" t="s">
        <v>71</v>
      </c>
      <c r="C29" s="118"/>
      <c r="D29" s="118"/>
      <c r="E29" s="118"/>
      <c r="F29" s="118"/>
      <c r="G29" s="118"/>
      <c r="H29" s="118"/>
      <c r="K29" s="3"/>
      <c r="L29" s="4"/>
    </row>
    <row r="30" spans="1:12" ht="29.25" customHeight="1" x14ac:dyDescent="0.2">
      <c r="B30" s="118" t="s">
        <v>15</v>
      </c>
      <c r="C30" s="118"/>
      <c r="D30" s="118"/>
      <c r="E30" s="118"/>
      <c r="F30" s="118"/>
      <c r="G30" s="118"/>
      <c r="H30" s="118"/>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8" priority="8" stopIfTrue="1" operator="notEqual">
      <formula>""</formula>
    </cfRule>
  </conditionalFormatting>
  <conditionalFormatting sqref="A24:B24">
    <cfRule type="cellIs" dxfId="17" priority="7" stopIfTrue="1" operator="notEqual">
      <formula>""</formula>
    </cfRule>
  </conditionalFormatting>
  <conditionalFormatting sqref="H3:I12">
    <cfRule type="containsBlanks" dxfId="16" priority="9" stopIfTrue="1">
      <formula>LEN(TRIM(H3))=0</formula>
    </cfRule>
  </conditionalFormatting>
  <conditionalFormatting sqref="B3:C3 E3:G3 B4:G12">
    <cfRule type="containsBlanks" dxfId="15" priority="6" stopIfTrue="1">
      <formula>LEN(TRIM(B3))=0</formula>
    </cfRule>
  </conditionalFormatting>
  <conditionalFormatting sqref="D3">
    <cfRule type="containsBlanks" dxfId="14" priority="5" stopIfTrue="1">
      <formula>LEN(TRIM(D3))=0</formula>
    </cfRule>
  </conditionalFormatting>
  <conditionalFormatting sqref="H14:I14">
    <cfRule type="containsBlanks" dxfId="13" priority="4" stopIfTrue="1">
      <formula>LEN(TRIM(H14))=0</formula>
    </cfRule>
  </conditionalFormatting>
  <conditionalFormatting sqref="B14:G14">
    <cfRule type="containsBlanks" dxfId="12" priority="3" stopIfTrue="1">
      <formula>LEN(TRIM(B14))=0</formula>
    </cfRule>
  </conditionalFormatting>
  <conditionalFormatting sqref="H13:I13">
    <cfRule type="containsBlanks" dxfId="11" priority="2" stopIfTrue="1">
      <formula>LEN(TRIM(H13))=0</formula>
    </cfRule>
  </conditionalFormatting>
  <conditionalFormatting sqref="B13:G13">
    <cfRule type="containsBlanks" dxfId="10"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19" t="str">
        <f>IF(K15&gt;=B1,"",IF(AND(COUNTIF(K3:K11,"&gt;=4")=4,COUNTIF(B9:B12,"&gt;0")&gt;2),CONCATENATE("Trying to hit ",B1," hours exactly? Estimate your final punch below"),""))</f>
        <v/>
      </c>
      <c r="B19" s="120"/>
      <c r="C19" s="120"/>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1" t="str">
        <f>IF((A23=""),"",IF(AND((ISBLANK(D11)=FALSE),(ISBLANK(C11)=FALSE)),"You've already entered in lunch punches for today. I'll use those numbers.","&lt;--- Enter today's lunch time as a decimal (e.g. 45 minutes would be .75). Entering nothing will default to 1 hour. You can enter 0 for no lunch."))</f>
        <v/>
      </c>
      <c r="D23" s="122"/>
      <c r="E23" s="122"/>
      <c r="F23" s="122"/>
      <c r="G23" s="122"/>
      <c r="H23" s="122"/>
      <c r="I23" s="122"/>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1" t="str">
        <f>IF((A24=""),"",IF((COUNTA(B11:D11)=2),"Looks like you've got only one lunch punch. Enter another to calculate",""))</f>
        <v/>
      </c>
      <c r="D24" s="122"/>
      <c r="E24" s="122"/>
      <c r="F24" s="122"/>
      <c r="K24" s="3"/>
      <c r="L24" s="4"/>
    </row>
    <row r="25" spans="1:12" ht="12.75" customHeight="1" x14ac:dyDescent="0.2">
      <c r="K25" s="3"/>
      <c r="L25" s="4"/>
    </row>
    <row r="26" spans="1:12" ht="12.75" customHeight="1" x14ac:dyDescent="0.2">
      <c r="K26" s="3"/>
      <c r="L26" s="4"/>
    </row>
    <row r="27" spans="1:12" ht="29.25" customHeight="1" x14ac:dyDescent="0.2">
      <c r="A27" s="10" t="s">
        <v>3</v>
      </c>
      <c r="B27" s="118" t="s">
        <v>5</v>
      </c>
      <c r="C27" s="118"/>
      <c r="D27" s="118"/>
      <c r="E27" s="118"/>
      <c r="F27" s="118"/>
      <c r="G27" s="123"/>
      <c r="H27" s="123"/>
      <c r="K27" s="3"/>
      <c r="L27" s="4"/>
    </row>
    <row r="28" spans="1:12" ht="28.5" customHeight="1" x14ac:dyDescent="0.2">
      <c r="B28" s="124" t="s">
        <v>17</v>
      </c>
      <c r="C28" s="124"/>
      <c r="D28" s="124"/>
      <c r="E28" s="124"/>
      <c r="F28" s="124"/>
      <c r="G28" s="124"/>
      <c r="H28" s="124"/>
      <c r="K28" s="3"/>
      <c r="L28" s="4"/>
    </row>
    <row r="29" spans="1:12" ht="41.25" customHeight="1" x14ac:dyDescent="0.2">
      <c r="B29" s="118" t="s">
        <v>71</v>
      </c>
      <c r="C29" s="118"/>
      <c r="D29" s="118"/>
      <c r="E29" s="118"/>
      <c r="F29" s="118"/>
      <c r="G29" s="118"/>
      <c r="H29" s="118"/>
      <c r="K29" s="3"/>
      <c r="L29" s="4"/>
    </row>
    <row r="30" spans="1:12" ht="29.25" customHeight="1" x14ac:dyDescent="0.2">
      <c r="B30" s="118" t="s">
        <v>15</v>
      </c>
      <c r="C30" s="118"/>
      <c r="D30" s="118"/>
      <c r="E30" s="118"/>
      <c r="F30" s="118"/>
      <c r="G30" s="118"/>
      <c r="H30" s="118"/>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9" priority="9" stopIfTrue="1" operator="notEqual">
      <formula>""</formula>
    </cfRule>
  </conditionalFormatting>
  <conditionalFormatting sqref="A24:B24">
    <cfRule type="cellIs" dxfId="8" priority="8" stopIfTrue="1" operator="notEqual">
      <formula>""</formula>
    </cfRule>
  </conditionalFormatting>
  <conditionalFormatting sqref="H3:I12">
    <cfRule type="containsBlanks" dxfId="7" priority="10" stopIfTrue="1">
      <formula>LEN(TRIM(H3))=0</formula>
    </cfRule>
  </conditionalFormatting>
  <conditionalFormatting sqref="B3:C3 E3:G3 B4:G4 B6:G12 B5 D5:G5">
    <cfRule type="containsBlanks" dxfId="6" priority="7" stopIfTrue="1">
      <formula>LEN(TRIM(B3))=0</formula>
    </cfRule>
  </conditionalFormatting>
  <conditionalFormatting sqref="D3">
    <cfRule type="containsBlanks" dxfId="5" priority="6" stopIfTrue="1">
      <formula>LEN(TRIM(D3))=0</formula>
    </cfRule>
  </conditionalFormatting>
  <conditionalFormatting sqref="H14:I14">
    <cfRule type="containsBlanks" dxfId="4" priority="5" stopIfTrue="1">
      <formula>LEN(TRIM(H14))=0</formula>
    </cfRule>
  </conditionalFormatting>
  <conditionalFormatting sqref="B14:G14">
    <cfRule type="containsBlanks" dxfId="3" priority="4" stopIfTrue="1">
      <formula>LEN(TRIM(B14))=0</formula>
    </cfRule>
  </conditionalFormatting>
  <conditionalFormatting sqref="H13:I13">
    <cfRule type="containsBlanks" dxfId="2" priority="3" stopIfTrue="1">
      <formula>LEN(TRIM(H13))=0</formula>
    </cfRule>
  </conditionalFormatting>
  <conditionalFormatting sqref="B13:G13">
    <cfRule type="containsBlanks" dxfId="1" priority="2" stopIfTrue="1">
      <formula>LEN(TRIM(B13))=0</formula>
    </cfRule>
  </conditionalFormatting>
  <conditionalFormatting sqref="C5">
    <cfRule type="containsBlanks" dxfId="0"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51"/>
  <sheetViews>
    <sheetView zoomScaleNormal="100" workbookViewId="0">
      <selection activeCell="D7" sqref="D7"/>
    </sheetView>
  </sheetViews>
  <sheetFormatPr defaultRowHeight="12.75" x14ac:dyDescent="0.2"/>
  <cols>
    <col min="1" max="2" width="9" customWidth="1"/>
    <col min="3" max="3" width="11.85546875" customWidth="1"/>
    <col min="4" max="4" width="11.140625" customWidth="1"/>
    <col min="5" max="5" width="4" customWidth="1"/>
    <col min="6" max="7" width="9" customWidth="1"/>
    <col min="8" max="8" width="12.42578125" customWidth="1"/>
    <col min="9" max="9" width="11" customWidth="1"/>
    <col min="10" max="10" width="5" customWidth="1"/>
  </cols>
  <sheetData>
    <row r="2" spans="1:10" ht="16.5" thickBot="1" x14ac:dyDescent="0.25">
      <c r="A2" s="100" t="s">
        <v>109</v>
      </c>
      <c r="B2" s="100"/>
      <c r="C2" s="102" t="s">
        <v>141</v>
      </c>
      <c r="D2" s="102"/>
      <c r="E2" s="100"/>
      <c r="F2" s="100" t="s">
        <v>112</v>
      </c>
      <c r="G2" s="100"/>
      <c r="H2" s="109">
        <v>41522</v>
      </c>
      <c r="I2" s="111"/>
      <c r="J2" s="100"/>
    </row>
    <row r="3" spans="1:10" ht="15.75" x14ac:dyDescent="0.2">
      <c r="A3" s="100"/>
      <c r="B3" s="100"/>
      <c r="C3" s="100"/>
      <c r="D3" s="100"/>
      <c r="E3" s="100"/>
      <c r="F3" s="100"/>
      <c r="G3" s="100"/>
      <c r="H3" s="100"/>
      <c r="I3" s="100"/>
      <c r="J3" s="100"/>
    </row>
    <row r="4" spans="1:10" ht="16.5" thickBot="1" x14ac:dyDescent="0.3">
      <c r="A4" s="100" t="s">
        <v>110</v>
      </c>
      <c r="B4" s="100"/>
      <c r="C4" s="110">
        <v>41522</v>
      </c>
      <c r="D4" s="112">
        <v>0.33333333333333331</v>
      </c>
      <c r="E4" s="100"/>
      <c r="F4" s="100"/>
      <c r="G4" s="100"/>
      <c r="H4" s="100"/>
      <c r="I4" s="100"/>
      <c r="J4" s="100"/>
    </row>
    <row r="5" spans="1:10" ht="15.75" x14ac:dyDescent="0.2">
      <c r="A5" s="100"/>
      <c r="B5" s="100"/>
      <c r="C5" s="100"/>
      <c r="D5" s="113"/>
      <c r="E5" s="100"/>
      <c r="F5" s="100"/>
      <c r="G5" s="100"/>
      <c r="H5" s="100"/>
      <c r="I5" s="100"/>
      <c r="J5" s="100"/>
    </row>
    <row r="6" spans="1:10" ht="16.5" thickBot="1" x14ac:dyDescent="0.3">
      <c r="A6" s="100" t="s">
        <v>111</v>
      </c>
      <c r="B6" s="100"/>
      <c r="C6" s="110">
        <v>41522</v>
      </c>
      <c r="D6" s="112">
        <v>0.79166666666666663</v>
      </c>
      <c r="E6" s="100"/>
      <c r="F6" s="100" t="s">
        <v>113</v>
      </c>
      <c r="G6" s="100"/>
      <c r="H6" s="114">
        <v>8</v>
      </c>
      <c r="I6" s="111"/>
      <c r="J6" s="100"/>
    </row>
    <row r="7" spans="1:10" ht="15.75" x14ac:dyDescent="0.2">
      <c r="A7" s="100"/>
      <c r="B7" s="100"/>
      <c r="C7" s="100"/>
      <c r="D7" s="100"/>
      <c r="E7" s="100"/>
      <c r="F7" s="100"/>
      <c r="G7" s="100"/>
      <c r="H7" s="100"/>
      <c r="I7" s="100"/>
      <c r="J7" s="100"/>
    </row>
    <row r="8" spans="1:10" ht="16.5"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00"/>
      <c r="C10" s="100" t="s">
        <v>114</v>
      </c>
      <c r="D10" s="100"/>
      <c r="E10" s="100"/>
      <c r="F10" s="100"/>
      <c r="G10" s="100"/>
      <c r="H10" s="100"/>
      <c r="I10" s="100"/>
      <c r="J10" s="100"/>
    </row>
    <row r="11" spans="1:10" ht="15.75" x14ac:dyDescent="0.2">
      <c r="A11" s="100"/>
      <c r="B11" s="100"/>
      <c r="C11" s="100"/>
      <c r="D11" s="100"/>
      <c r="E11" s="100"/>
      <c r="F11" s="100"/>
      <c r="G11" s="100"/>
      <c r="H11" s="100"/>
      <c r="I11" s="100"/>
      <c r="J11" s="100"/>
    </row>
    <row r="12" spans="1:10" ht="15.75" x14ac:dyDescent="0.2">
      <c r="A12" s="100"/>
      <c r="B12" s="100"/>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00"/>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00"/>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21" customHeight="1" x14ac:dyDescent="0.25">
      <c r="A24" s="108"/>
      <c r="B24" s="105"/>
      <c r="C24" s="105"/>
      <c r="D24" s="105"/>
      <c r="E24" s="105"/>
      <c r="F24" s="105"/>
      <c r="G24" s="105"/>
      <c r="H24" s="105"/>
      <c r="I24" s="105"/>
      <c r="J24" s="105"/>
    </row>
    <row r="25" spans="1:10" ht="11.25" customHeight="1" x14ac:dyDescent="0.2">
      <c r="A25" s="106"/>
      <c r="B25" s="106"/>
      <c r="C25" s="106"/>
      <c r="D25" s="106"/>
      <c r="E25" s="106"/>
      <c r="F25" s="106"/>
      <c r="G25" s="106"/>
      <c r="H25" s="106"/>
      <c r="I25" s="106"/>
      <c r="J25" s="106"/>
    </row>
    <row r="26" spans="1:10" ht="15.75" x14ac:dyDescent="0.25">
      <c r="A26" s="108"/>
      <c r="B26" s="105"/>
      <c r="C26" s="105"/>
      <c r="D26" s="105"/>
      <c r="E26" s="105"/>
      <c r="F26" s="105"/>
      <c r="G26" s="105"/>
      <c r="H26" s="105"/>
      <c r="I26" s="105"/>
      <c r="J26" s="105"/>
    </row>
    <row r="27" spans="1:10" ht="11.25" customHeight="1" x14ac:dyDescent="0.2">
      <c r="A27" s="106"/>
      <c r="B27" s="106"/>
      <c r="C27" s="106"/>
      <c r="D27" s="106"/>
      <c r="E27" s="106"/>
      <c r="F27" s="106"/>
      <c r="G27" s="106"/>
      <c r="H27" s="106"/>
      <c r="I27" s="106"/>
      <c r="J27" s="106"/>
    </row>
    <row r="28" spans="1:10" ht="15.75" x14ac:dyDescent="0.25">
      <c r="A28" s="108"/>
      <c r="B28" s="105"/>
      <c r="C28" s="105"/>
      <c r="D28" s="105"/>
      <c r="E28" s="105"/>
      <c r="F28" s="105"/>
      <c r="G28" s="105"/>
      <c r="H28" s="105"/>
      <c r="I28" s="105"/>
      <c r="J28" s="105"/>
    </row>
    <row r="29" spans="1:10" ht="11.25" customHeight="1" x14ac:dyDescent="0.2">
      <c r="A29" s="106"/>
      <c r="B29" s="106"/>
      <c r="C29" s="106"/>
      <c r="D29" s="106"/>
      <c r="E29" s="106"/>
      <c r="F29" s="106"/>
      <c r="G29" s="106"/>
      <c r="H29" s="106"/>
      <c r="I29" s="106"/>
      <c r="J29" s="106"/>
    </row>
    <row r="30" spans="1:10" ht="16.5" thickBot="1" x14ac:dyDescent="0.25">
      <c r="A30" s="107"/>
      <c r="B30" s="107"/>
      <c r="C30" s="107"/>
      <c r="D30" s="107"/>
      <c r="E30" s="107"/>
      <c r="F30" s="107"/>
      <c r="G30" s="107"/>
      <c r="H30" s="107"/>
      <c r="I30" s="107"/>
      <c r="J30" s="107"/>
    </row>
    <row r="31" spans="1:10" ht="15.75" x14ac:dyDescent="0.2">
      <c r="A31" s="100"/>
      <c r="B31" s="100"/>
      <c r="C31" s="100"/>
      <c r="D31" s="100"/>
      <c r="E31" s="100"/>
      <c r="F31" s="100"/>
      <c r="G31" s="100"/>
      <c r="H31" s="100"/>
      <c r="I31" s="100"/>
      <c r="J31" s="100"/>
    </row>
    <row r="32" spans="1:10" ht="15.75" x14ac:dyDescent="0.2">
      <c r="A32" s="100"/>
      <c r="B32" s="100" t="s">
        <v>123</v>
      </c>
      <c r="C32" s="100"/>
      <c r="D32" s="100"/>
      <c r="E32" s="100"/>
      <c r="F32" s="100"/>
      <c r="G32" s="100"/>
      <c r="H32" s="100"/>
      <c r="I32" s="100"/>
      <c r="J32" s="100"/>
    </row>
    <row r="33" spans="1:10" ht="15.75" x14ac:dyDescent="0.2">
      <c r="A33" s="100"/>
      <c r="B33" s="100"/>
      <c r="C33" s="100" t="s">
        <v>124</v>
      </c>
      <c r="D33" s="101"/>
      <c r="E33" s="101"/>
      <c r="F33" s="101"/>
      <c r="G33" s="101"/>
      <c r="H33" s="101"/>
      <c r="I33" s="101"/>
      <c r="J33" s="101"/>
    </row>
    <row r="34" spans="1:10" ht="15.75" x14ac:dyDescent="0.2">
      <c r="A34" s="100"/>
      <c r="B34" s="100"/>
      <c r="C34" s="100"/>
      <c r="D34" s="100"/>
      <c r="E34" s="100"/>
      <c r="F34" s="100"/>
      <c r="G34" s="100"/>
      <c r="H34" s="100"/>
      <c r="I34" s="100"/>
      <c r="J34" s="100"/>
    </row>
    <row r="35" spans="1:10" ht="15.75" x14ac:dyDescent="0.2">
      <c r="A35" s="100"/>
      <c r="B35" s="100" t="s">
        <v>128</v>
      </c>
      <c r="C35" s="100"/>
      <c r="D35" s="100"/>
      <c r="E35" s="100"/>
      <c r="F35" s="100"/>
      <c r="G35" s="100"/>
      <c r="H35" s="100"/>
      <c r="I35" s="100"/>
      <c r="J35" s="100"/>
    </row>
    <row r="36" spans="1:10" ht="15.75" x14ac:dyDescent="0.2">
      <c r="A36" s="100"/>
      <c r="B36" s="100"/>
      <c r="C36" s="100" t="s">
        <v>124</v>
      </c>
      <c r="D36" s="101"/>
      <c r="E36" s="101"/>
      <c r="F36" s="101"/>
      <c r="G36" s="101"/>
      <c r="H36" s="101"/>
      <c r="I36" s="101"/>
      <c r="J36" s="101"/>
    </row>
    <row r="37" spans="1:10" ht="15.75" x14ac:dyDescent="0.2">
      <c r="A37" s="100"/>
      <c r="B37" s="100"/>
      <c r="C37" s="100"/>
      <c r="D37" s="100"/>
      <c r="E37" s="100"/>
      <c r="F37" s="100"/>
      <c r="G37" s="100"/>
      <c r="H37" s="100"/>
      <c r="I37" s="100"/>
      <c r="J37" s="100"/>
    </row>
    <row r="38" spans="1:10" ht="15.75" x14ac:dyDescent="0.2">
      <c r="A38" s="100"/>
      <c r="B38" s="100"/>
      <c r="C38" s="100"/>
      <c r="D38" s="100"/>
      <c r="E38" s="100"/>
      <c r="F38" s="100"/>
      <c r="G38" s="100"/>
      <c r="H38" s="100"/>
      <c r="I38" s="100"/>
      <c r="J38" s="100"/>
    </row>
    <row r="39" spans="1:10" ht="16.5" thickBot="1" x14ac:dyDescent="0.25">
      <c r="A39" s="100" t="s">
        <v>125</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127</v>
      </c>
      <c r="B41" s="100"/>
      <c r="C41" s="102"/>
      <c r="D41" s="102"/>
      <c r="E41" s="102"/>
      <c r="F41" s="102"/>
      <c r="G41" s="102"/>
      <c r="H41" s="102"/>
      <c r="I41" s="102"/>
      <c r="J41" s="102"/>
    </row>
    <row r="42" spans="1:10" ht="15.75" x14ac:dyDescent="0.2">
      <c r="A42" s="100"/>
      <c r="B42" s="100"/>
      <c r="C42" s="100"/>
      <c r="D42" s="100"/>
      <c r="E42" s="100"/>
      <c r="F42" s="100"/>
      <c r="G42" s="100"/>
      <c r="H42" s="100"/>
      <c r="I42" s="100"/>
      <c r="J42" s="100"/>
    </row>
    <row r="43" spans="1:10" ht="16.5" thickBot="1" x14ac:dyDescent="0.25">
      <c r="A43" s="100" t="s">
        <v>126</v>
      </c>
      <c r="B43" s="100"/>
      <c r="C43" s="100"/>
      <c r="D43" s="100"/>
      <c r="E43" s="100"/>
      <c r="F43" s="102"/>
      <c r="G43" s="102"/>
      <c r="H43" s="102"/>
      <c r="I43" s="102"/>
      <c r="J43" s="102"/>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row r="50" spans="1:10" ht="15.75" x14ac:dyDescent="0.2">
      <c r="A50" s="100"/>
      <c r="B50" s="100"/>
      <c r="C50" s="100"/>
      <c r="D50" s="100"/>
      <c r="E50" s="100"/>
      <c r="F50" s="100"/>
      <c r="G50" s="100"/>
      <c r="H50" s="100"/>
      <c r="I50" s="100"/>
      <c r="J50" s="100"/>
    </row>
    <row r="51" spans="1:10" ht="15.75" x14ac:dyDescent="0.2">
      <c r="A51" s="100"/>
      <c r="B51" s="100"/>
      <c r="C51" s="100"/>
      <c r="D51" s="100"/>
      <c r="E51" s="100"/>
      <c r="F51" s="100"/>
      <c r="G51" s="100"/>
      <c r="H51" s="100"/>
      <c r="I51" s="100"/>
      <c r="J51" s="100"/>
    </row>
  </sheetData>
  <dataConsolidate/>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77" r:id="rId4" name="lblPrintLabel">
          <controlPr print="0" autoLine="0" r:id="rId5">
            <anchor moveWithCells="1">
              <from>
                <xdr:col>11</xdr:col>
                <xdr:colOff>123825</xdr:colOff>
                <xdr:row>1</xdr:row>
                <xdr:rowOff>180975</xdr:rowOff>
              </from>
              <to>
                <xdr:col>12</xdr:col>
                <xdr:colOff>180975</xdr:colOff>
                <xdr:row>5</xdr:row>
                <xdr:rowOff>190500</xdr:rowOff>
              </to>
            </anchor>
          </controlPr>
        </control>
      </mc:Choice>
      <mc:Fallback>
        <control shapeId="1397777" r:id="rId4" name="lblPrintLabel"/>
      </mc:Fallback>
    </mc:AlternateContent>
    <mc:AlternateContent xmlns:mc="http://schemas.openxmlformats.org/markup-compatibility/2006">
      <mc:Choice Requires="x14">
        <control shapeId="1397769" r:id="rId6" name="boxEmployeeName">
          <controlPr print="0" autoFill="0" autoLine="0" linkedCell="$C$2" listFillRange="References!$A$2:$A$13" r:id="rId7">
            <anchor moveWithCells="1">
              <from>
                <xdr:col>2</xdr:col>
                <xdr:colOff>0</xdr:colOff>
                <xdr:row>1</xdr:row>
                <xdr:rowOff>0</xdr:rowOff>
              </from>
              <to>
                <xdr:col>4</xdr:col>
                <xdr:colOff>0</xdr:colOff>
                <xdr:row>1</xdr:row>
                <xdr:rowOff>190500</xdr:rowOff>
              </to>
            </anchor>
          </controlPr>
        </control>
      </mc:Choice>
      <mc:Fallback>
        <control shapeId="1397769" r:id="rId6" name="boxEmployeeName"/>
      </mc:Fallback>
    </mc:AlternateContent>
    <mc:AlternateContent xmlns:mc="http://schemas.openxmlformats.org/markup-compatibility/2006">
      <mc:Choice Requires="x14">
        <control shapeId="1397766" r:id="rId8" name="chkOvertimeEarned">
          <controlPr autoFill="0" autoLine="0" r:id="rId9">
            <anchor moveWithCells="1">
              <from>
                <xdr:col>0</xdr:col>
                <xdr:colOff>381000</xdr:colOff>
                <xdr:row>33</xdr:row>
                <xdr:rowOff>180975</xdr:rowOff>
              </from>
              <to>
                <xdr:col>1</xdr:col>
                <xdr:colOff>0</xdr:colOff>
                <xdr:row>35</xdr:row>
                <xdr:rowOff>47625</xdr:rowOff>
              </to>
            </anchor>
          </controlPr>
        </control>
      </mc:Choice>
      <mc:Fallback>
        <control shapeId="1397766" r:id="rId8" name="chkOvertimeEarned"/>
      </mc:Fallback>
    </mc:AlternateContent>
    <mc:AlternateContent xmlns:mc="http://schemas.openxmlformats.org/markup-compatibility/2006">
      <mc:Choice Requires="x14">
        <control shapeId="1397765" r:id="rId10" name="chkCompEarned">
          <controlPr autoFill="0" autoLine="0" r:id="rId9">
            <anchor moveWithCells="1">
              <from>
                <xdr:col>0</xdr:col>
                <xdr:colOff>381000</xdr:colOff>
                <xdr:row>30</xdr:row>
                <xdr:rowOff>180975</xdr:rowOff>
              </from>
              <to>
                <xdr:col>1</xdr:col>
                <xdr:colOff>0</xdr:colOff>
                <xdr:row>32</xdr:row>
                <xdr:rowOff>47625</xdr:rowOff>
              </to>
            </anchor>
          </controlPr>
        </control>
      </mc:Choice>
      <mc:Fallback>
        <control shapeId="1397765" r:id="rId10" name="chkCompEarned"/>
      </mc:Fallback>
    </mc:AlternateContent>
    <mc:AlternateContent xmlns:mc="http://schemas.openxmlformats.org/markup-compatibility/2006">
      <mc:Choice Requires="x14">
        <control shapeId="1397764" r:id="rId11" name="chkOther">
          <controlPr autoFill="0" autoLine="0" r:id="rId9">
            <anchor moveWithCells="1">
              <from>
                <xdr:col>1</xdr:col>
                <xdr:colOff>381000</xdr:colOff>
                <xdr:row>19</xdr:row>
                <xdr:rowOff>180975</xdr:rowOff>
              </from>
              <to>
                <xdr:col>2</xdr:col>
                <xdr:colOff>0</xdr:colOff>
                <xdr:row>21</xdr:row>
                <xdr:rowOff>47625</xdr:rowOff>
              </to>
            </anchor>
          </controlPr>
        </control>
      </mc:Choice>
      <mc:Fallback>
        <control shapeId="1397764" r:id="rId11" name="chkOther"/>
      </mc:Fallback>
    </mc:AlternateContent>
    <mc:AlternateContent xmlns:mc="http://schemas.openxmlformats.org/markup-compatibility/2006">
      <mc:Choice Requires="x14">
        <control shapeId="1397763" r:id="rId12" name="chkComp">
          <controlPr autoFill="0" autoLine="0" r:id="rId9">
            <anchor moveWithCells="1">
              <from>
                <xdr:col>1</xdr:col>
                <xdr:colOff>381000</xdr:colOff>
                <xdr:row>17</xdr:row>
                <xdr:rowOff>171450</xdr:rowOff>
              </from>
              <to>
                <xdr:col>2</xdr:col>
                <xdr:colOff>0</xdr:colOff>
                <xdr:row>19</xdr:row>
                <xdr:rowOff>38100</xdr:rowOff>
              </to>
            </anchor>
          </controlPr>
        </control>
      </mc:Choice>
      <mc:Fallback>
        <control shapeId="1397763" r:id="rId12" name="chkComp"/>
      </mc:Fallback>
    </mc:AlternateContent>
    <mc:AlternateContent xmlns:mc="http://schemas.openxmlformats.org/markup-compatibility/2006">
      <mc:Choice Requires="x14">
        <control shapeId="1397762" r:id="rId13" name="chkCat">
          <controlPr autoFill="0" autoLine="0" r:id="rId9">
            <anchor moveWithCells="1">
              <from>
                <xdr:col>1</xdr:col>
                <xdr:colOff>381000</xdr:colOff>
                <xdr:row>10</xdr:row>
                <xdr:rowOff>190500</xdr:rowOff>
              </from>
              <to>
                <xdr:col>2</xdr:col>
                <xdr:colOff>0</xdr:colOff>
                <xdr:row>12</xdr:row>
                <xdr:rowOff>57150</xdr:rowOff>
              </to>
            </anchor>
          </controlPr>
        </control>
      </mc:Choice>
      <mc:Fallback>
        <control shapeId="1397762" r:id="rId13" name="chkCat"/>
      </mc:Fallback>
    </mc:AlternateContent>
    <mc:AlternateContent xmlns:mc="http://schemas.openxmlformats.org/markup-compatibility/2006">
      <mc:Choice Requires="x14">
        <control shapeId="1397761" r:id="rId14" name="chkPTO">
          <controlPr autoFill="0" autoLine="0" r:id="rId9">
            <anchor moveWithCells="1">
              <from>
                <xdr:col>1</xdr:col>
                <xdr:colOff>381000</xdr:colOff>
                <xdr:row>8</xdr:row>
                <xdr:rowOff>190500</xdr:rowOff>
              </from>
              <to>
                <xdr:col>2</xdr:col>
                <xdr:colOff>0</xdr:colOff>
                <xdr:row>10</xdr:row>
                <xdr:rowOff>57150</xdr:rowOff>
              </to>
            </anchor>
          </controlPr>
        </control>
      </mc:Choice>
      <mc:Fallback>
        <control shapeId="1397761" r:id="rId14" name="chkPTO"/>
      </mc:Fallback>
    </mc:AlternateContent>
    <mc:AlternateContent xmlns:mc="http://schemas.openxmlformats.org/markup-compatibility/2006">
      <mc:Choice Requires="x14">
        <control shapeId="1397775" r:id="rId15" name="btnPrintTimeOffForm">
          <controlPr print="0" autoLine="0" r:id="rId16">
            <anchor moveWithCells="1">
              <from>
                <xdr:col>8</xdr:col>
                <xdr:colOff>95250</xdr:colOff>
                <xdr:row>1</xdr:row>
                <xdr:rowOff>28575</xdr:rowOff>
              </from>
              <to>
                <xdr:col>11</xdr:col>
                <xdr:colOff>28575</xdr:colOff>
                <xdr:row>6</xdr:row>
                <xdr:rowOff>85725</xdr:rowOff>
              </to>
            </anchor>
          </controlPr>
        </control>
      </mc:Choice>
      <mc:Fallback>
        <control shapeId="1397775" r:id="rId15" name="btnPrintTimeOffForm"/>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A21" sqref="A21"/>
    </sheetView>
  </sheetViews>
  <sheetFormatPr defaultRowHeight="12.75" x14ac:dyDescent="0.2"/>
  <cols>
    <col min="1" max="1" width="13.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48</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25" t="s">
        <v>26</v>
      </c>
      <c r="B1" s="125"/>
      <c r="C1" s="125"/>
      <c r="D1" s="125"/>
      <c r="E1" s="125"/>
      <c r="N1" s="126" t="s">
        <v>39</v>
      </c>
      <c r="O1" s="126"/>
      <c r="P1" s="126"/>
      <c r="Q1" s="126"/>
      <c r="R1" s="126"/>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A3" sqref="A3"/>
    </sheetView>
  </sheetViews>
  <sheetFormatPr defaultRowHeight="12.75" x14ac:dyDescent="0.2"/>
  <sheetData>
    <row r="1" spans="1:1" x14ac:dyDescent="0.2">
      <c r="A1" t="s">
        <v>140</v>
      </c>
    </row>
    <row r="2" spans="1:1" x14ac:dyDescent="0.2">
      <c r="A2" t="s">
        <v>141</v>
      </c>
    </row>
    <row r="3" spans="1:1" x14ac:dyDescent="0.2">
      <c r="A3" t="s">
        <v>129</v>
      </c>
    </row>
    <row r="4" spans="1:1" x14ac:dyDescent="0.2">
      <c r="A4" t="s">
        <v>130</v>
      </c>
    </row>
    <row r="5" spans="1:1" x14ac:dyDescent="0.2">
      <c r="A5" t="s">
        <v>132</v>
      </c>
    </row>
    <row r="6" spans="1:1" x14ac:dyDescent="0.2">
      <c r="A6" t="s">
        <v>139</v>
      </c>
    </row>
    <row r="7" spans="1:1" x14ac:dyDescent="0.2">
      <c r="A7" t="s">
        <v>133</v>
      </c>
    </row>
    <row r="8" spans="1:1" x14ac:dyDescent="0.2">
      <c r="A8" t="s">
        <v>138</v>
      </c>
    </row>
    <row r="9" spans="1:1" x14ac:dyDescent="0.2">
      <c r="A9" t="s">
        <v>137</v>
      </c>
    </row>
    <row r="10" spans="1:1" x14ac:dyDescent="0.2">
      <c r="A10" t="s">
        <v>136</v>
      </c>
    </row>
    <row r="11" spans="1:1" x14ac:dyDescent="0.2">
      <c r="A11" t="s">
        <v>131</v>
      </c>
    </row>
    <row r="12" spans="1:1" x14ac:dyDescent="0.2">
      <c r="A12" t="s">
        <v>135</v>
      </c>
    </row>
    <row r="13" spans="1:1" x14ac:dyDescent="0.2">
      <c r="A13" t="s">
        <v>134</v>
      </c>
    </row>
  </sheetData>
  <sheetProtection password="ED3E" sheet="1" objects="1" scenarios="1"/>
  <sortState ref="A2:A12">
    <sortCondition ref="A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Time Off Form</vt:lpstr>
      <vt:lpstr>User Preferences</vt:lpstr>
      <vt:lpstr>Changelog</vt:lpstr>
      <vt:lpstr>PeopleSoft</vt:lpstr>
      <vt:lpstr>References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cp:lastPrinted>2013-09-03T17:08:40Z</cp:lastPrinted>
  <dcterms:created xsi:type="dcterms:W3CDTF">2011-08-11T20:04:03Z</dcterms:created>
  <dcterms:modified xsi:type="dcterms:W3CDTF">2013-09-04T20:27:10Z</dcterms:modified>
</cp:coreProperties>
</file>