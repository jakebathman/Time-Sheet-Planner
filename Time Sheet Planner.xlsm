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3.xml" ContentType="application/vnd.ms-office.activeX+xml"/>
  <Override PartName="/xl/activeX/activeX2.bin" ContentType="application/vnd.ms-office.activeX"/>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3.bin" ContentType="application/vnd.ms-office.activeX"/>
  <Override PartName="/xl/activeX/activeX7.xml" ContentType="application/vnd.ms-office.activeX+xml"/>
  <Override PartName="/xl/activeX/activeX4.bin" ContentType="application/vnd.ms-office.activeX"/>
  <Override PartName="/xl/activeX/activeX8.xml" ContentType="application/vnd.ms-office.activeX+xml"/>
  <Override PartName="/xl/activeX/activeX5.bin" ContentType="application/vnd.ms-office.activeX"/>
  <Override PartName="/xl/activeX/activeX9.xml" ContentType="application/vnd.ms-office.activeX+xml"/>
  <Override PartName="/xl/activeX/activeX6.bin" ContentType="application/vnd.ms-office.activeX"/>
  <Override PartName="/xl/activeX/activeX10.xml" ContentType="application/vnd.ms-office.activeX+xml"/>
  <Override PartName="/xl/activeX/activeX7.bin" ContentType="application/vnd.ms-office.activeX"/>
  <Override PartName="/xl/activeX/activeX11.xml" ContentType="application/vnd.ms-office.activeX+xml"/>
  <Override PartName="/xl/activeX/activeX8.bin" ContentType="application/vnd.ms-office.activeX"/>
  <Override PartName="/xl/activeX/activeX12.xml" ContentType="application/vnd.ms-office.activeX+xml"/>
  <Override PartName="/xl/activeX/activeX9.bin" ContentType="application/vnd.ms-office.activeX"/>
  <Override PartName="/xl/activeX/activeX13.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G11" i="1832" l="1"/>
  <c r="H11" i="1832" s="1"/>
  <c r="L9" i="1832"/>
  <c r="D9" i="5" l="1"/>
  <c r="K12" i="1832" l="1"/>
  <c r="K10" i="1832"/>
  <c r="K13" i="1832" s="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L3" i="1832" l="1"/>
  <c r="L4"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J9" i="1832"/>
  <c r="L8" i="1832"/>
  <c r="J8" i="1832"/>
  <c r="L7" i="1832"/>
  <c r="J7" i="1832"/>
  <c r="L6" i="1832"/>
  <c r="J6" i="1832"/>
  <c r="L5" i="1832"/>
  <c r="J5" i="1832"/>
  <c r="J4" i="1832"/>
  <c r="J3" i="1832"/>
  <c r="A22" i="1836" l="1"/>
  <c r="A23" i="1836" s="1"/>
  <c r="B21" i="1836"/>
  <c r="B22" i="1836" s="1"/>
  <c r="A24" i="1836" l="1"/>
  <c r="C23" i="1836"/>
  <c r="C24" i="1836" l="1"/>
  <c r="B24" i="1836"/>
  <c r="D3" i="5" l="1"/>
  <c r="B7" i="5"/>
  <c r="K11" i="1832" l="1"/>
  <c r="K16" i="1836"/>
  <c r="L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<sst xmlns="http://schemas.openxmlformats.org/spreadsheetml/2006/main" count="200" uniqueCount="142">
  <si>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</si>
  <si>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</si>
  <si>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</si>
  <si>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</si>
  <si>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</si>
  <si>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</si>
  <si>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</si>
  <si>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</si>
  <si>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</si>
  <si>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</si>
  <si>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</si>
  <si>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</si>
  <si>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</si>
  <si>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</si>
  <si>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</si>
  <si>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</si>
  <si>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</si>
  <si>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</si>
  <si>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</si>
  <si>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</si>
  <si>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</si>
  <si>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</si>
  <si>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</si>
  <si>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</si>
  <si>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</si>
  <si>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</si>
  <si>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</si>
  <si>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</si>
  <si>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</si>
  <si>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</si>
  <si>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</si>
  <si>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</si>
  <si>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</si>
  <si>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</si>
  <si>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</si>
  <si>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</si>
  <si>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</si>
  <si>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</si>
  <si>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</si>
  <si>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</si>
  <si>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</si>
  <si>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</si>
  <si>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</si>
  <si>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</si>
  <si>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</si>
  <si>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</si>
  <si>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</si>
  <si>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</si>
  <si>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</si>
  <si>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</si>
  <si>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</si>
  <si>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</si>
  <si>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</si>
  <si>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</si>
  <si>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</si>
  <si>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</si>
  <si>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</si>
  <si>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</si>
  <si>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</si>
  <si>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</si>
  <si>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</si>
  <si>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</si>
  <si>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</si>
  <si>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</si>
  <si>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</si>
  <si>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</si>
  <si>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</si>
  <si>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</si>
  <si>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</si>
  <si>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</si>
  <si>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</si>
  <si>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</si>
  <si>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</si>
  <si>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</si>
  <si>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</si>
  <si>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</si>
  <si>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</si>
  <si>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</si>
  <si>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</si>
  <si>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</si>
  <si>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</si>
  <si>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</si>
  <si>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</si>
  <si>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</si>
  <si>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</si>
  <si>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</si>
  <si>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</si>
  <si>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</si>
  <si>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</si>
  <si>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</si>
  <si>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</si>
  <si>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</si>
  <si>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</si>
  <si>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</si>
  <si>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</si>
  <si>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</si>
  <si>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</si>
  <si>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</si>
  <si>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</si>
  <si>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</si>
  <si>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</si>
  <si>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</si>
  <si>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</si>
  <si>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</si>
  <si>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</si>
  <si>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</si>
  <si>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</si>
  <si>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</si>
  <si>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</si>
  <si>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</si>
  <si>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</si>
  <si>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</si>
  <si>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</si>
  <si>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</si>
  <si>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</si>
  <si>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</si>
  <si>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</si>
  <si>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</si>
  <si>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</si>
  <si>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</si>
  <si>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</si>
  <si>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</si>
  <si>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</si>
  <si>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</si>
  <si>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</si>
  <si>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</si>
  <si>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</si>
  <si>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</si>
  <si>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</si>
  <si>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</si>
  <si>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</si>
  <si>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</si>
  <si>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</si>
  <si>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</si>
  <si>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</si>
  <si>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</si>
  <si>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</si>
  <si>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</si>
  <si>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</si>
  <si>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</si>
  <si>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</si>
  <si>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Choose 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</si>
</sst>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0" fontId="13" fillId="0" borderId="9" xfId="0" applyFont="1" applyBorder="1" applyAlignment="1"/>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29">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3.xml.rels><?xml version="1.0" encoding="UTF-8" standalone="yes"?>
<Relationships xmlns="http://schemas.openxmlformats.org/package/2006/relationships"><Relationship Id="rId1" Type="http://schemas.microsoft.com/office/2006/relationships/activeXControlBinary" Target="activeX2.bin"/></Relationships>
</file>

<file path=xl/activeX/_rels/activeX6.xml.rels><?xml version="1.0" encoding="UTF-8" standalone="yes"?>
<Relationships xmlns="http://schemas.openxmlformats.org/package/2006/relationships"><Relationship Id="rId1" Type="http://schemas.microsoft.com/office/2006/relationships/activeXControlBinary" Target="activeX3.bin"/></Relationships>
</file>

<file path=xl/activeX/_rels/activeX7.xml.rels><?xml version="1.0" encoding="UTF-8" standalone="yes"?>
<Relationships xmlns="http://schemas.openxmlformats.org/package/2006/relationships"><Relationship Id="rId1" Type="http://schemas.microsoft.com/office/2006/relationships/activeXControlBinary" Target="activeX4.bin"/></Relationships>
</file>

<file path=xl/activeX/_rels/activeX8.xml.rels><?xml version="1.0" encoding="UTF-8" standalone="yes"?>
<Relationships xmlns="http://schemas.openxmlformats.org/package/2006/relationships"><Relationship Id="rId1" Type="http://schemas.microsoft.com/office/2006/relationships/activeXControlBinary" Target="activeX5.bin"/></Relationships>
</file>

<file path=xl/activeX/_rels/activeX9.xml.rels><?xml version="1.0" encoding="UTF-8" standalone="yes"?>
<Relationships xmlns="http://schemas.openxmlformats.org/package/2006/relationships"><Relationship Id="rId1" Type="http://schemas.microsoft.com/office/2006/relationships/activeXControlBinary" Target="activeX6.bin"/></Relationships>
</file>

<file path=xl/activeX/_rels/activeX10.xml.rels><?xml version="1.0" encoding="UTF-8" standalone="yes"?>
<Relationships xmlns="http://schemas.openxmlformats.org/package/2006/relationships"><Relationship Id="rId1" Type="http://schemas.microsoft.com/office/2006/relationships/activeXControlBinary" Target="activeX7.bin"/></Relationships>
</file>

<file path=xl/activeX/_rels/activeX11.xml.rels><?xml version="1.0" encoding="UTF-8" standalone="yes"?>
<Relationships xmlns="http://schemas.openxmlformats.org/package/2006/relationships"><Relationship Id="rId1" Type="http://schemas.microsoft.com/office/2006/relationships/activeXControlBinary" Target="activeX8.bin"/></Relationships>
</file>

<file path=xl/activeX/_rels/activeX12.xml.rels><?xml version="1.0" encoding="UTF-8" standalone="yes"?>
<Relationships xmlns="http://schemas.openxmlformats.org/package/2006/relationships"><Relationship Id="rId1" Type="http://schemas.microsoft.com/office/2006/relationships/activeXControlBinary" Target="activeX9.bin"/></Relationships>
</file>

<file path=xl/activeX/_rels/activeX13.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7646"/>
  <ax:ocxPr ax:name="_ExtentY" ax:value="4974"/>
  <ax:ocxPr ax:name="_StockProps" ax:value="1"/>
  <ax:ocxPr ax:name="BackColor" ax:value="14737632"/>
  <ax:ocxPr ax:name="Year" ax:value="2013"/>
  <ax:ocxPr ax:name="Month" ax:value="9"/>
  <ax:ocxPr ax:name="Day" ax:value="3"/>
  <ax:ocxPr ax:name="DayLength" ax:value="1"/>
  <ax:ocxPr ax:name="MonthLength" ax:value="1"/>
  <ax:ocxPr ax:name="DayFontColor" ax:value="0"/>
  <ax:ocxPr ax:name="FirstDay" ax:value="7"/>
  <ax:ocxPr ax:name="GridCellEffect" ax:value="1"/>
  <ax:ocxPr ax:name="GridFontColor" ax:value="8388608"/>
  <ax:ocxPr ax:name="GridLinesColor" ax:value="8421504"/>
  <ax:ocxPr ax:name="ShowDateSelectors" ax:value="-1"/>
  <ax:ocxPr ax:name="ShowDays" ax:value="-1"/>
  <ax:ocxPr ax:name="ShowHorizontalGrid" ax:value="0"/>
  <ax:ocxPr ax:name="ShowTitle" ax:value="-1"/>
  <ax:ocxPr ax:name="ShowVerticalGrid" ax:value="0"/>
  <ax:ocxPr ax:name="TitleFontColor" ax:value="128"/>
  <ax:ocxPr ax:name="ValueIsNull" ax:value="-1"/>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7646"/>
  <ax:ocxPr ax:name="_ExtentY" ax:value="5080"/>
  <ax:ocxPr ax:name="_StockProps" ax:value="1"/>
  <ax:ocxPr ax:name="BackColor" ax:value="14737632"/>
  <ax:ocxPr ax:name="Year" ax:value="2013"/>
  <ax:ocxPr ax:name="Month" ax:value="9"/>
  <ax:ocxPr ax:name="Day" ax:value="10"/>
  <ax:ocxPr ax:name="DayLength" ax:value="1"/>
  <ax:ocxPr ax:name="MonthLength" ax:value="1"/>
  <ax:ocxPr ax:name="DayFontColor" ax:value="0"/>
  <ax:ocxPr ax:name="FirstDay" ax:value="7"/>
  <ax:ocxPr ax:name="GridCellEffect" ax:value="1"/>
  <ax:ocxPr ax:name="GridFontColor" ax:value="8388608"/>
  <ax:ocxPr ax:name="GridLinesColor" ax:value="8421504"/>
  <ax:ocxPr ax:name="ShowDateSelectors" ax:value="-1"/>
  <ax:ocxPr ax:name="ShowDays" ax:value="-1"/>
  <ax:ocxPr ax:name="ShowHorizontalGrid" ax:value="0"/>
  <ax:ocxPr ax:name="ShowTitle" ax:value="-1"/>
  <ax:ocxPr ax:name="ShowVerticalGrid" ax:value="0"/>
  <ax:ocxPr ax:name="TitleFontColor" ax:value="128"/>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activeX/activeX5.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7646"/>
  <ax:ocxPr ax:name="_ExtentY" ax:value="5080"/>
  <ax:ocxPr ax:name="_StockProps" ax:value="1"/>
  <ax:ocxPr ax:name="BackColor" ax:value="14737632"/>
  <ax:ocxPr ax:name="Year" ax:value="2013"/>
  <ax:ocxPr ax:name="Month" ax:value="9"/>
  <ax:ocxPr ax:name="Day" ax:value="10"/>
  <ax:ocxPr ax:name="DayLength" ax:value="1"/>
  <ax:ocxPr ax:name="MonthLength" ax:value="1"/>
  <ax:ocxPr ax:name="DayFontColor" ax:value="0"/>
  <ax:ocxPr ax:name="FirstDay" ax:value="7"/>
  <ax:ocxPr ax:name="GridCellEffect" ax:value="1"/>
  <ax:ocxPr ax:name="GridFontColor" ax:value="8388608"/>
  <ax:ocxPr ax:name="GridLinesColor" ax:value="8421504"/>
  <ax:ocxPr ax:name="ShowDateSelectors" ax:value="-1"/>
  <ax:ocxPr ax:name="ShowDays" ax:value="-1"/>
  <ax:ocxPr ax:name="ShowHorizontalGrid" ax:value="0"/>
  <ax:ocxPr ax:name="ShowTitle" ax:value="-1"/>
  <ax:ocxPr ax:name="ShowVerticalGrid" ax:value="0"/>
  <ax:ocxPr ax:name="TitleFontColor" ax:value="128"/>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8</xdr:row>
          <xdr:rowOff>190500</xdr:rowOff>
        </xdr:from>
        <xdr:to>
          <xdr:col>2</xdr:col>
          <xdr:colOff>0</xdr:colOff>
          <xdr:row>10</xdr:row>
          <xdr:rowOff>57150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10</xdr:row>
          <xdr:rowOff>190500</xdr:rowOff>
        </xdr:from>
        <xdr:to>
          <xdr:col>2</xdr:col>
          <xdr:colOff>0</xdr:colOff>
          <xdr:row>12</xdr:row>
          <xdr:rowOff>57150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17</xdr:row>
          <xdr:rowOff>171450</xdr:rowOff>
        </xdr:from>
        <xdr:to>
          <xdr:col>2</xdr:col>
          <xdr:colOff>0</xdr:colOff>
          <xdr:row>19</xdr:row>
          <xdr:rowOff>38100</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19</xdr:row>
          <xdr:rowOff>180975</xdr:rowOff>
        </xdr:from>
        <xdr:to>
          <xdr:col>2</xdr:col>
          <xdr:colOff>0</xdr:colOff>
          <xdr:row>21</xdr:row>
          <xdr:rowOff>47625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30</xdr:row>
          <xdr:rowOff>180975</xdr:rowOff>
        </xdr:from>
        <xdr:to>
          <xdr:col>1</xdr:col>
          <xdr:colOff>0</xdr:colOff>
          <xdr:row>32</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33</xdr:row>
          <xdr:rowOff>180975</xdr:rowOff>
        </xdr:from>
        <xdr:to>
          <xdr:col>1</xdr:col>
          <xdr:colOff>0</xdr:colOff>
          <xdr:row>35</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0</xdr:colOff>
          <xdr:row>1</xdr:row>
          <xdr:rowOff>190500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6</xdr:col>
          <xdr:colOff>352425</xdr:colOff>
          <xdr:row>13</xdr:row>
          <xdr:rowOff>9525</xdr:rowOff>
        </xdr:to>
        <xdr:sp macro="" textlink="">
          <xdr:nvSpPr>
            <xdr:cNvPr id="1397772" name="calFromDate" hidden="1">
              <a:extLst>
                <a:ext uri="{63B3BB69-23CF-44E3-9099-C40C66FF867C}">
                  <a14:compatExt spid="_x0000_s13977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xdr:row>
          <xdr:rowOff>47625</xdr:rowOff>
        </xdr:from>
        <xdr:to>
          <xdr:col>6</xdr:col>
          <xdr:colOff>352425</xdr:colOff>
          <xdr:row>15</xdr:row>
          <xdr:rowOff>57150</xdr:rowOff>
        </xdr:to>
        <xdr:sp macro="" textlink="">
          <xdr:nvSpPr>
            <xdr:cNvPr id="1397774" name="calToDate" hidden="1">
              <a:extLst>
                <a:ext uri="{63B3BB69-23CF-44E3-9099-C40C66FF867C}">
                  <a14:compatExt spid="_x0000_s13977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85725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xdr:row>
          <xdr:rowOff>19050</xdr:rowOff>
        </xdr:from>
        <xdr:to>
          <xdr:col>8</xdr:col>
          <xdr:colOff>723900</xdr:colOff>
          <xdr:row>10</xdr:row>
          <xdr:rowOff>171450</xdr:rowOff>
        </xdr:to>
        <xdr:sp macro="" textlink="">
          <xdr:nvSpPr>
            <xdr:cNvPr id="1397776" name="calDateSubmitted" hidden="1">
              <a:extLst>
                <a:ext uri="{63B3BB69-23CF-44E3-9099-C40C66FF867C}">
                  <a14:compatExt spid="_x0000_s13977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190500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18" Type="http://schemas.openxmlformats.org/officeDocument/2006/relationships/control" Target="../activeX/activeX11.xml"/><Relationship Id="rId3" Type="http://schemas.openxmlformats.org/officeDocument/2006/relationships/vmlDrawing" Target="../drawings/vmlDrawing4.vml"/><Relationship Id="rId21" Type="http://schemas.openxmlformats.org/officeDocument/2006/relationships/control" Target="../activeX/activeX13.xml"/><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control" Target="../activeX/activeX10.xml"/><Relationship Id="rId2" Type="http://schemas.openxmlformats.org/officeDocument/2006/relationships/drawing" Target="../drawings/drawing4.xml"/><Relationship Id="rId16" Type="http://schemas.openxmlformats.org/officeDocument/2006/relationships/control" Target="../activeX/activeX9.xml"/><Relationship Id="rId20" Type="http://schemas.openxmlformats.org/officeDocument/2006/relationships/image" Target="../media/image7.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8.xml"/><Relationship Id="rId10" Type="http://schemas.openxmlformats.org/officeDocument/2006/relationships/control" Target="../activeX/activeX5.xml"/><Relationship Id="rId19" Type="http://schemas.openxmlformats.org/officeDocument/2006/relationships/control" Target="../activeX/activeX12.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 Id="rId22" Type="http://schemas.openxmlformats.org/officeDocument/2006/relationships/image" Target="../media/image8.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6.5703125" customWidth="1"/>
    <col min="9" max="9" width="3" hidden="1" customWidth="1"/>
    <col min="10" max="10" width="1.7109375" hidden="1" customWidth="1"/>
    <col min="11" max="11" width="21.42578125" customWidth="1"/>
    <col min="12" max="12" width="34.140625" customWidth="1"/>
    <col min="13" max="13" width="25" customWidth="1"/>
    <col min="14" max="23" width="17.140625" customWidth="1"/>
  </cols>
  <sheetData>
    <row r="1" spans="1:13" ht="51" x14ac:dyDescent="0.2">
      <c r="A1" s="69" t="s">
        <v>103</v>
      </c>
      <c r="B1" s="68">
        <v>40</v>
      </c>
    </row>
    <row r="2" spans="1:13" ht="26.25" thickBot="1" x14ac:dyDescent="0.25">
      <c r="A2" s="85"/>
      <c r="B2" s="2" t="s">
        <v>4</v>
      </c>
      <c r="C2" s="2" t="s">
        <v>11</v>
      </c>
      <c r="D2" s="2" t="s">
        <v>13</v>
      </c>
      <c r="E2" s="2" t="s">
        <v>0</v>
      </c>
      <c r="F2" s="2" t="s">
        <v>4</v>
      </c>
      <c r="G2" s="2" t="s">
        <v>0</v>
      </c>
      <c r="H2" s="2" t="s">
        <v>105</v>
      </c>
      <c r="I2" s="58"/>
      <c r="J2" s="2"/>
      <c r="K2" s="3" t="s">
        <v>104</v>
      </c>
      <c r="L2" s="16" t="s">
        <v>16</v>
      </c>
      <c r="M2" s="12" t="s">
        <v>18</v>
      </c>
    </row>
    <row r="3" spans="1:13" x14ac:dyDescent="0.2">
      <c r="A3" s="87" t="s">
        <v>9</v>
      </c>
      <c r="B3" s="20"/>
      <c r="C3" s="21"/>
      <c r="D3" s="21"/>
      <c r="E3" s="21"/>
      <c r="F3" s="21"/>
      <c r="G3" s="64"/>
      <c r="H3" s="22"/>
      <c r="I3" s="23"/>
      <c r="J3" s="24" t="str">
        <f>IF(OR(I3="comp",I3="cat",I3="pto",I3=""),"",I3)</f>
        <v/>
      </c>
      <c r="K3" s="77"/>
      <c r="L3" s="26" t="str">
        <f t="shared" ref="L3:L8" si="0">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x14ac:dyDescent="0.2">
      <c r="A4" s="87" t="s">
        <v>10</v>
      </c>
      <c r="B4" s="36"/>
      <c r="C4" s="37"/>
      <c r="D4" s="37"/>
      <c r="E4" s="37"/>
      <c r="F4" s="66"/>
      <c r="G4" s="37"/>
      <c r="H4" s="30"/>
      <c r="I4" s="32"/>
      <c r="J4" s="38" t="str">
        <f t="shared" ref="J4:J9" si="1">IF(OR(I4="comp",I4="cat",I4="pto",I4=""),"",I4)</f>
        <v/>
      </c>
      <c r="K4" s="79"/>
      <c r="L4" s="34" t="str">
        <f t="shared" si="0"/>
        <v/>
      </c>
      <c r="M4" s="40"/>
    </row>
    <row r="5" spans="1:13" x14ac:dyDescent="0.2">
      <c r="A5" s="87" t="s">
        <v>12</v>
      </c>
      <c r="B5" s="36"/>
      <c r="C5" s="37"/>
      <c r="D5" s="37"/>
      <c r="E5" s="37"/>
      <c r="F5" s="37"/>
      <c r="G5" s="37"/>
      <c r="H5" s="30"/>
      <c r="I5" s="32"/>
      <c r="J5" s="38" t="str">
        <f t="shared" si="1"/>
        <v/>
      </c>
      <c r="K5" s="79"/>
      <c r="L5" s="34" t="str">
        <f t="shared" si="0"/>
        <v/>
      </c>
      <c r="M5" s="40"/>
    </row>
    <row r="6" spans="1:13" x14ac:dyDescent="0.2">
      <c r="A6" s="87" t="s">
        <v>8</v>
      </c>
      <c r="B6" s="36"/>
      <c r="C6" s="37"/>
      <c r="D6" s="37"/>
      <c r="E6" s="37"/>
      <c r="F6" s="37"/>
      <c r="G6" s="37"/>
      <c r="H6" s="30"/>
      <c r="I6" s="32"/>
      <c r="J6" s="38" t="str">
        <f t="shared" si="1"/>
        <v/>
      </c>
      <c r="K6" s="79"/>
      <c r="L6" s="34" t="str">
        <f t="shared" si="0"/>
        <v/>
      </c>
      <c r="M6" s="40"/>
    </row>
    <row r="7" spans="1:13" x14ac:dyDescent="0.2">
      <c r="A7" s="87" t="s">
        <v>14</v>
      </c>
      <c r="B7" s="36"/>
      <c r="C7" s="37"/>
      <c r="D7" s="37"/>
      <c r="E7" s="37"/>
      <c r="F7" s="37"/>
      <c r="G7" s="37"/>
      <c r="H7" s="56"/>
      <c r="I7" s="32"/>
      <c r="J7" s="38" t="str">
        <f t="shared" si="1"/>
        <v/>
      </c>
      <c r="K7" s="79"/>
      <c r="L7" s="34" t="str">
        <f t="shared" si="0"/>
        <v/>
      </c>
      <c r="M7" s="40"/>
    </row>
    <row r="8" spans="1:13" x14ac:dyDescent="0.2">
      <c r="A8" s="86" t="s">
        <v>7</v>
      </c>
      <c r="B8" s="36"/>
      <c r="C8" s="37"/>
      <c r="D8" s="37"/>
      <c r="E8" s="37"/>
      <c r="F8" s="37"/>
      <c r="G8" s="37"/>
      <c r="H8" s="56"/>
      <c r="I8" s="32"/>
      <c r="J8" s="38" t="str">
        <f t="shared" si="1"/>
        <v/>
      </c>
      <c r="K8" s="79"/>
      <c r="L8" s="34" t="str">
        <f t="shared" si="0"/>
        <v/>
      </c>
      <c r="M8" s="40"/>
    </row>
    <row r="9" spans="1:13" s="11" customFormat="1" ht="13.5" thickBot="1" x14ac:dyDescent="0.25">
      <c r="A9" s="88" t="s">
        <v>93</v>
      </c>
      <c r="B9" s="41"/>
      <c r="C9" s="42"/>
      <c r="D9" s="42"/>
      <c r="E9" s="42"/>
      <c r="F9" s="42"/>
      <c r="G9" s="42"/>
      <c r="H9" s="43"/>
      <c r="I9" s="44"/>
      <c r="J9" s="45" t="str">
        <f t="shared" si="1"/>
        <v/>
      </c>
      <c r="K9" s="80"/>
      <c r="L9" s="47" t="str">
        <f>CONCATENATE(IF(ISODD(COUNTA(B9:G9)),"&lt;--- Incorrect or incomplete entries. ",""),IF(H9&gt;0," You've entered time off for Saturday. Are you sure?",""),IF(AND(OR(E9&lt;B9,D9&lt;C9,G9&lt;F9,AND(F9&lt;B9,F9&gt;0),AND(G9&lt;B9,G9&gt;0),C9&lt;B9),ISEVEN(COUNTA(B9:G9)),COUNTA(B9:G9)&gt;2),"Make sure to enter time in 24-hour format (e.g. 15:45 for 3:45pm)",""))</f>
        <v/>
      </c>
      <c r="M9" s="48"/>
    </row>
    <row r="10" spans="1:13" x14ac:dyDescent="0.2">
      <c r="A10" s="73"/>
      <c r="B10" s="60"/>
      <c r="C10" s="61"/>
      <c r="D10" s="61"/>
      <c r="E10" s="61"/>
      <c r="F10" s="61"/>
      <c r="I10" s="2"/>
      <c r="J10" s="2"/>
      <c r="K10" s="75">
        <f>SUM(K3:K9)</f>
        <v>0</v>
      </c>
      <c r="L10" s="26"/>
      <c r="M10" s="76"/>
    </row>
    <row r="11" spans="1:13" ht="54.75" customHeight="1" x14ac:dyDescent="0.2">
      <c r="B11" s="6"/>
      <c r="C11" s="6"/>
      <c r="D11" s="6"/>
      <c r="E11" s="6"/>
      <c r="F11" s="6"/>
      <c r="G11" s="87" t="str">
        <f>IF((SUM(H3:H9)=0),"","Total time off used:")</f>
        <v/>
      </c>
      <c r="H11" s="104" t="str">
        <f>IF((G11=""),"",CONCATENATE(SUM(H3:H7)," hours"))</f>
        <v/>
      </c>
      <c r="I11" s="2"/>
      <c r="J11" s="2"/>
      <c r="K11" s="13" t="str">
        <f>IF((K10=B1),"",IF((K10&lt;B1),CONCATENATE("You're short: need to use ",MROUND((B1-K10),0.25)," hrs. of comp time or PTO"),IF('User Preferences'!B7=0,"You're over on time, but you are ineligible for comp time accrual.",CONCATENATE("Gained ",MROUND((ABS((B1-K10))*'User Preferences'!B7),0.005)," hrs. of comp time"))))</f>
        <v>You're short: need to use 40 hrs. of comp time or PTO</v>
      </c>
      <c r="L11" s="17" t="str">
        <f>CONCATENATE(IF(COUNTIF(K3:K7,"&gt;" &amp;0)=5,"","NOTE: Not all time entries have been filled for Monday through Friday. Check entries for errors. "),IF(AND((K10-B1)&gt;0,H11&gt;0, H11&lt;&gt;""),"Woah, look out! You've used some time off, but gained "&amp; MROUND((ABS((B1-K10))*'User Preferences'!B7),0.005) &amp; " hrs. of comp time. Check those entries.",""))</f>
        <v xml:space="preserve">NOTE: Not all time entries have been filled for Monday through Friday. Check entries for errors. </v>
      </c>
    </row>
    <row r="12" spans="1:13" x14ac:dyDescent="0.2">
      <c r="B12" s="67"/>
      <c r="C12" s="67"/>
      <c r="D12" s="67"/>
      <c r="E12" s="67"/>
      <c r="F12" s="67"/>
      <c r="I12" s="5"/>
      <c r="J12" s="5"/>
      <c r="K12" s="3" t="str">
        <f>IF(SUM(H3:H9)&gt;=(B1*0.8),"Vacation week, huh?","")</f>
        <v/>
      </c>
      <c r="L12" s="4"/>
    </row>
    <row r="13" spans="1:13" x14ac:dyDescent="0.2">
      <c r="B13" s="89"/>
      <c r="C13" s="6"/>
      <c r="D13" s="6"/>
      <c r="E13" s="6"/>
      <c r="F13" s="67"/>
      <c r="G13" s="90"/>
      <c r="H13" s="15"/>
      <c r="K13" s="3" t="str">
        <f>IF(OR(K10=0,K10&gt;=B1),"",IF(ISBLANK(B7)=FALSE,"",CONCATENATE("On track for ~", ((COUNTBLANK(K3:K7)-4)*MROUND(AVERAGE(K3:K7),0.25))+K10," hrs. total")))</f>
        <v/>
      </c>
      <c r="L13" s="19"/>
    </row>
    <row r="14" spans="1:13" x14ac:dyDescent="0.2">
      <c r="A14" s="91"/>
      <c r="B14" s="92"/>
      <c r="C14" s="92"/>
      <c r="D14" s="71"/>
      <c r="G14" s="14"/>
      <c r="H14" s="15"/>
      <c r="K14" s="3"/>
      <c r="L14" s="4"/>
    </row>
    <row r="15" spans="1:13" x14ac:dyDescent="0.2">
      <c r="B15" s="67"/>
      <c r="G15" s="14"/>
      <c r="H15" s="15"/>
      <c r="K15" s="3"/>
      <c r="L15" s="4"/>
    </row>
    <row r="16" spans="1:13" x14ac:dyDescent="0.2">
      <c r="A16" s="1"/>
      <c r="B16" s="2"/>
      <c r="G16" s="14"/>
      <c r="H16" s="18"/>
      <c r="I16" s="15"/>
      <c r="K16" s="3"/>
      <c r="L16" s="4"/>
    </row>
    <row r="17" spans="1:12" x14ac:dyDescent="0.2">
      <c r="A17" s="1"/>
      <c r="B17" s="2"/>
      <c r="K17" s="3"/>
      <c r="L17" s="4"/>
    </row>
    <row r="18" spans="1:12" x14ac:dyDescent="0.2">
      <c r="A18" s="1"/>
      <c r="B18" s="12"/>
      <c r="C18" s="93"/>
      <c r="D18" s="94"/>
      <c r="E18" s="94"/>
      <c r="F18" s="94"/>
      <c r="G18" s="94"/>
      <c r="H18" s="94"/>
      <c r="I18" s="94"/>
      <c r="J18" s="72"/>
      <c r="K18" s="3"/>
      <c r="L18" s="4"/>
    </row>
    <row r="19" spans="1:12" x14ac:dyDescent="0.2">
      <c r="A19" s="1"/>
      <c r="B19" s="9"/>
      <c r="C19" s="93"/>
      <c r="D19" s="94"/>
      <c r="E19" s="94"/>
      <c r="F19" s="94"/>
      <c r="K19" s="3"/>
      <c r="L19" s="4"/>
    </row>
    <row r="20" spans="1:12" x14ac:dyDescent="0.2">
      <c r="K20" s="3"/>
      <c r="L20" s="4"/>
    </row>
    <row r="21" spans="1:12" x14ac:dyDescent="0.2">
      <c r="K21" s="3"/>
      <c r="L21" s="4"/>
    </row>
    <row r="22" spans="1:12" x14ac:dyDescent="0.2">
      <c r="A22" s="10"/>
      <c r="B22" s="95"/>
      <c r="C22" s="95"/>
      <c r="D22" s="95"/>
      <c r="E22" s="95"/>
      <c r="F22" s="95"/>
      <c r="G22" s="96"/>
      <c r="H22" s="96"/>
      <c r="K22" s="3"/>
      <c r="L22" s="4"/>
    </row>
    <row r="23" spans="1:12" x14ac:dyDescent="0.2">
      <c r="B23" s="97"/>
      <c r="C23" s="97"/>
      <c r="D23" s="97"/>
      <c r="E23" s="97"/>
      <c r="F23" s="97"/>
      <c r="G23" s="97"/>
      <c r="H23" s="97"/>
      <c r="K23" s="3"/>
      <c r="L23" s="4"/>
    </row>
    <row r="24" spans="1:12" x14ac:dyDescent="0.2">
      <c r="B24" s="95"/>
      <c r="C24" s="95"/>
      <c r="D24" s="95"/>
      <c r="E24" s="95"/>
      <c r="F24" s="95"/>
      <c r="G24" s="95"/>
      <c r="H24" s="95"/>
      <c r="K24" s="3"/>
      <c r="L24" s="4"/>
    </row>
    <row r="25" spans="1:12" x14ac:dyDescent="0.2">
      <c r="B25" s="95"/>
      <c r="C25" s="95"/>
      <c r="D25" s="95"/>
      <c r="E25" s="95"/>
      <c r="F25" s="95"/>
      <c r="G25" s="95"/>
      <c r="H25" s="95"/>
      <c r="K25" s="3"/>
      <c r="L25" s="4"/>
    </row>
    <row r="26" spans="1:12" x14ac:dyDescent="0.2">
      <c r="K26" s="3"/>
      <c r="L26" s="4"/>
    </row>
    <row r="27" spans="1:12" x14ac:dyDescent="0.2">
      <c r="K27" s="3"/>
      <c r="L27" s="4"/>
    </row>
    <row r="28" spans="1:12" x14ac:dyDescent="0.2">
      <c r="K28" s="3"/>
      <c r="L28" s="4"/>
    </row>
    <row r="29" spans="1:12" x14ac:dyDescent="0.2">
      <c r="K29" s="3"/>
      <c r="L29" s="4"/>
    </row>
    <row r="30" spans="1:12" x14ac:dyDescent="0.2">
      <c r="K30" s="3"/>
      <c r="L30" s="4"/>
    </row>
    <row r="31" spans="1:12" x14ac:dyDescent="0.2">
      <c r="K31" s="3"/>
      <c r="L31" s="4"/>
    </row>
    <row r="32" spans="1:12" x14ac:dyDescent="0.2">
      <c r="K32" s="3"/>
      <c r="L32" s="4"/>
    </row>
    <row r="33" spans="11:12" x14ac:dyDescent="0.2">
      <c r="K33" s="3"/>
      <c r="L33" s="4"/>
    </row>
    <row r="34" spans="11:12" x14ac:dyDescent="0.2">
      <c r="K34" s="3"/>
      <c r="L34" s="4"/>
    </row>
    <row r="35" spans="11:12" x14ac:dyDescent="0.2">
      <c r="K35" s="3"/>
      <c r="L35" s="4"/>
    </row>
    <row r="36" spans="11:12" x14ac:dyDescent="0.2">
      <c r="K36" s="3"/>
      <c r="L36" s="4"/>
    </row>
    <row r="37" spans="11:12" x14ac:dyDescent="0.2">
      <c r="K37" s="3"/>
      <c r="L37" s="4"/>
    </row>
    <row r="38" spans="11:12" x14ac:dyDescent="0.2">
      <c r="K38" s="3"/>
      <c r="L38" s="4"/>
    </row>
    <row r="39" spans="11:12" x14ac:dyDescent="0.2">
      <c r="K39" s="3"/>
      <c r="L39" s="4"/>
    </row>
    <row r="40" spans="11:12" x14ac:dyDescent="0.2">
      <c r="K40" s="3"/>
      <c r="L40" s="4"/>
    </row>
    <row r="41" spans="11:12" x14ac:dyDescent="0.2">
      <c r="K41" s="3"/>
      <c r="L41" s="4"/>
    </row>
    <row r="42" spans="11:12" x14ac:dyDescent="0.2">
      <c r="K42" s="3"/>
      <c r="L42" s="4"/>
    </row>
    <row r="43" spans="11:12" x14ac:dyDescent="0.2">
      <c r="K43" s="3"/>
      <c r="L43" s="4"/>
    </row>
    <row r="44" spans="11:12" x14ac:dyDescent="0.2">
      <c r="K44" s="3"/>
      <c r="L44" s="4"/>
    </row>
    <row r="45" spans="11:12" x14ac:dyDescent="0.2">
      <c r="K45" s="3"/>
      <c r="L45" s="4"/>
    </row>
    <row r="46" spans="11:12" x14ac:dyDescent="0.2">
      <c r="K46" s="3"/>
      <c r="L46" s="4"/>
    </row>
    <row r="47" spans="11:12" x14ac:dyDescent="0.2">
      <c r="K47" s="3"/>
      <c r="L47" s="4"/>
    </row>
    <row r="48" spans="11:12" x14ac:dyDescent="0.2">
      <c r="K48" s="3"/>
      <c r="L48" s="4"/>
    </row>
    <row r="49" spans="11:12" x14ac:dyDescent="0.2">
      <c r="K49" s="3"/>
      <c r="L49" s="4"/>
    </row>
    <row r="50" spans="11:12" x14ac:dyDescent="0.2">
      <c r="K50" s="3"/>
      <c r="L50" s="4"/>
    </row>
    <row r="51" spans="11:12" x14ac:dyDescent="0.2">
      <c r="K51" s="3"/>
      <c r="L51" s="4"/>
    </row>
    <row r="52" spans="11:12" x14ac:dyDescent="0.2">
      <c r="K52" s="3"/>
      <c r="L52" s="4"/>
    </row>
    <row r="53" spans="11:12" x14ac:dyDescent="0.2">
      <c r="K53" s="3"/>
      <c r="L53" s="4"/>
    </row>
    <row r="54" spans="11:12" x14ac:dyDescent="0.2">
      <c r="K54" s="3"/>
      <c r="L54" s="4"/>
    </row>
    <row r="55" spans="11:12" x14ac:dyDescent="0.2">
      <c r="K55" s="3"/>
      <c r="L55" s="4"/>
    </row>
    <row r="56" spans="11:12" x14ac:dyDescent="0.2">
      <c r="K56" s="3"/>
      <c r="L56" s="4"/>
    </row>
    <row r="57" spans="11:12" x14ac:dyDescent="0.2">
      <c r="K57" s="3"/>
      <c r="L57" s="4"/>
    </row>
    <row r="58" spans="11:12" x14ac:dyDescent="0.2">
      <c r="K58" s="3"/>
      <c r="L58" s="4"/>
    </row>
    <row r="59" spans="11:12" x14ac:dyDescent="0.2">
      <c r="K59" s="3"/>
      <c r="L59" s="4"/>
    </row>
    <row r="60" spans="11:12" x14ac:dyDescent="0.2">
      <c r="K60" s="3"/>
      <c r="L60" s="4"/>
    </row>
    <row r="61" spans="11:12" x14ac:dyDescent="0.2">
      <c r="K61" s="3"/>
      <c r="L61" s="4"/>
    </row>
    <row r="62" spans="11:12" x14ac:dyDescent="0.2">
      <c r="K62" s="3"/>
      <c r="L62" s="4"/>
    </row>
    <row r="63" spans="11:12" x14ac:dyDescent="0.2">
      <c r="K63" s="3"/>
      <c r="L63" s="4"/>
    </row>
    <row r="64" spans="11:12" x14ac:dyDescent="0.2">
      <c r="K64" s="3"/>
      <c r="L64" s="4"/>
    </row>
    <row r="65" spans="11:12" x14ac:dyDescent="0.2">
      <c r="K65" s="3"/>
      <c r="L65" s="4"/>
    </row>
    <row r="66" spans="11:12" x14ac:dyDescent="0.2">
      <c r="K66" s="3"/>
      <c r="L66" s="4"/>
    </row>
    <row r="67" spans="11:12" x14ac:dyDescent="0.2">
      <c r="K67" s="3"/>
      <c r="L67" s="4"/>
    </row>
    <row r="68" spans="11:12" x14ac:dyDescent="0.2">
      <c r="K68" s="3"/>
      <c r="L68" s="4"/>
    </row>
    <row r="69" spans="11:12" x14ac:dyDescent="0.2">
      <c r="K69" s="3"/>
      <c r="L69" s="4"/>
    </row>
    <row r="70" spans="11:12"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95" spans="3:3" ht="12.75" customHeight="1" x14ac:dyDescent="0.2">
      <c r="C195" s="67"/>
    </row>
  </sheetData>
  <dataConsolidate/>
  <conditionalFormatting sqref="A14:C14">
    <cfRule type="cellIs" dxfId="28" priority="9" stopIfTrue="1" operator="notEqual">
      <formula>""</formula>
    </cfRule>
  </conditionalFormatting>
  <conditionalFormatting sqref="A19:B19">
    <cfRule type="cellIs" dxfId="27" priority="8" stopIfTrue="1" operator="notEqual">
      <formula>""</formula>
    </cfRule>
  </conditionalFormatting>
  <conditionalFormatting sqref="H3:I7">
    <cfRule type="containsBlanks" dxfId="26" priority="10" stopIfTrue="1">
      <formula>LEN(TRIM(H3))=0</formula>
    </cfRule>
  </conditionalFormatting>
  <conditionalFormatting sqref="B3:C3 E3:G3 B4 D4:G4 B5:G7">
    <cfRule type="containsBlanks" dxfId="25" priority="7" stopIfTrue="1">
      <formula>LEN(TRIM(B3))=0</formula>
    </cfRule>
  </conditionalFormatting>
  <conditionalFormatting sqref="D3">
    <cfRule type="containsBlanks" dxfId="24" priority="6" stopIfTrue="1">
      <formula>LEN(TRIM(D3))=0</formula>
    </cfRule>
  </conditionalFormatting>
  <conditionalFormatting sqref="H9:I9">
    <cfRule type="containsBlanks" dxfId="23" priority="5" stopIfTrue="1">
      <formula>LEN(TRIM(H9))=0</formula>
    </cfRule>
  </conditionalFormatting>
  <conditionalFormatting sqref="B9:G9">
    <cfRule type="containsBlanks" dxfId="22" priority="4" stopIfTrue="1">
      <formula>LEN(TRIM(B9))=0</formula>
    </cfRule>
  </conditionalFormatting>
  <conditionalFormatting sqref="H8:I8">
    <cfRule type="containsBlanks" dxfId="21" priority="3" stopIfTrue="1">
      <formula>LEN(TRIM(H8))=0</formula>
    </cfRule>
  </conditionalFormatting>
  <conditionalFormatting sqref="B8:G8">
    <cfRule type="containsBlanks" dxfId="20" priority="2" stopIfTrue="1">
      <formula>LEN(TRIM(B8))=0</formula>
    </cfRule>
  </conditionalFormatting>
  <conditionalFormatting sqref="C4">
    <cfRule type="containsBlanks" dxfId="19" priority="1" stopIfTrue="1">
      <formula>LEN(TRIM(C4))=0</formula>
    </cfRule>
  </conditionalFormatting>
  <pageMargins left="0.75" right="0.75" top="1" bottom="1" header="0.5" footer="0.5"/>
  <pageSetup paperSize="9" orientation="portrait" horizontalDpi="300" verticalDpi="300" r:id="rId1"/>
  <headerFooter alignWithMargins="0"/>
  <ignoredErrors>
    <ignoredError sqref="K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6" t="str">
        <f>IF(K15&gt;=B1,"",IF(AND(COUNTIF(K3:K11,"&gt;=4")=4,COUNTIF(B9:B12,"&gt;0")&gt;2),CONCATENATE("Trying to hit ",B1," hours exactly? Estimate your final punch below"),""))</f>
        <v/>
      </c>
      <c r="B19" s="117"/>
      <c r="C19" s="117"/>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18" t="str">
        <f>IF((A23=""),"",IF(AND((ISBLANK(D11)=FALSE),(ISBLANK(C11)=FALSE)),"You've already entered in lunch punches for today. I'll use those numbers.","&lt;--- Enter today's lunch time as a decimal (e.g. 45 minutes would be .75). Entering nothing will default to 1 hour. You can enter 0 for no lunch."))</f>
        <v/>
      </c>
      <c r="D23" s="119"/>
      <c r="E23" s="119"/>
      <c r="F23" s="119"/>
      <c r="G23" s="119"/>
      <c r="H23" s="119"/>
      <c r="I23" s="119"/>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18" t="str">
        <f>IF((A24=""),"",IF((COUNTA(B11:D11)=2),"Looks like you've got only one lunch punch. Enter another to calculate",""))</f>
        <v/>
      </c>
      <c r="D24" s="119"/>
      <c r="E24" s="119"/>
      <c r="F24" s="119"/>
      <c r="K24" s="3"/>
      <c r="L24" s="4"/>
    </row>
    <row r="25" spans="1:12" ht="12.75" customHeight="1" x14ac:dyDescent="0.2">
      <c r="K25" s="3"/>
      <c r="L25" s="4"/>
    </row>
    <row r="26" spans="1:12" ht="12.75" customHeight="1" x14ac:dyDescent="0.2">
      <c r="K26" s="3"/>
      <c r="L26" s="4"/>
    </row>
    <row r="27" spans="1:12" ht="29.25" customHeight="1" x14ac:dyDescent="0.2">
      <c r="A27" s="10" t="s">
        <v>3</v>
      </c>
      <c r="B27" s="115" t="s">
        <v>5</v>
      </c>
      <c r="C27" s="115"/>
      <c r="D27" s="115"/>
      <c r="E27" s="115"/>
      <c r="F27" s="115"/>
      <c r="G27" s="120"/>
      <c r="H27" s="120"/>
      <c r="K27" s="3"/>
      <c r="L27" s="4"/>
    </row>
    <row r="28" spans="1:12" ht="28.5" customHeight="1" x14ac:dyDescent="0.2">
      <c r="B28" s="121" t="s">
        <v>17</v>
      </c>
      <c r="C28" s="121"/>
      <c r="D28" s="121"/>
      <c r="E28" s="121"/>
      <c r="F28" s="121"/>
      <c r="G28" s="121"/>
      <c r="H28" s="121"/>
      <c r="K28" s="3"/>
      <c r="L28" s="4"/>
    </row>
    <row r="29" spans="1:12" ht="41.25" customHeight="1" x14ac:dyDescent="0.2">
      <c r="B29" s="115" t="s">
        <v>71</v>
      </c>
      <c r="C29" s="115"/>
      <c r="D29" s="115"/>
      <c r="E29" s="115"/>
      <c r="F29" s="115"/>
      <c r="G29" s="115"/>
      <c r="H29" s="115"/>
      <c r="K29" s="3"/>
      <c r="L29" s="4"/>
    </row>
    <row r="30" spans="1:12" ht="29.25" customHeight="1" x14ac:dyDescent="0.2">
      <c r="B30" s="115" t="s">
        <v>15</v>
      </c>
      <c r="C30" s="115"/>
      <c r="D30" s="115"/>
      <c r="E30" s="115"/>
      <c r="F30" s="115"/>
      <c r="G30" s="115"/>
      <c r="H30" s="115"/>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6" t="str">
        <f>IF(K15&gt;=B1,"",IF(AND(COUNTIF(K3:K11,"&gt;=4")=4,COUNTIF(B9:B12,"&gt;0")&gt;2),CONCATENATE("Trying to hit ",B1," hours exactly? Estimate your final punch below"),""))</f>
        <v/>
      </c>
      <c r="B19" s="117"/>
      <c r="C19" s="117"/>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18" t="str">
        <f>IF((A23=""),"",IF(AND((ISBLANK(D11)=FALSE),(ISBLANK(C11)=FALSE)),"You've already entered in lunch punches for today. I'll use those numbers.","&lt;--- Enter today's lunch time as a decimal (e.g. 45 minutes would be .75). Entering nothing will default to 1 hour. You can enter 0 for no lunch."))</f>
        <v/>
      </c>
      <c r="D23" s="119"/>
      <c r="E23" s="119"/>
      <c r="F23" s="119"/>
      <c r="G23" s="119"/>
      <c r="H23" s="119"/>
      <c r="I23" s="119"/>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18" t="str">
        <f>IF((A24=""),"",IF((COUNTA(B11:D11)=2),"Looks like you've got only one lunch punch. Enter another to calculate",""))</f>
        <v/>
      </c>
      <c r="D24" s="119"/>
      <c r="E24" s="119"/>
      <c r="F24" s="119"/>
      <c r="K24" s="3"/>
      <c r="L24" s="4"/>
    </row>
    <row r="25" spans="1:12" ht="12.75" customHeight="1" x14ac:dyDescent="0.2">
      <c r="K25" s="3"/>
      <c r="L25" s="4"/>
    </row>
    <row r="26" spans="1:12" ht="12.75" customHeight="1" x14ac:dyDescent="0.2">
      <c r="K26" s="3"/>
      <c r="L26" s="4"/>
    </row>
    <row r="27" spans="1:12" ht="29.25" customHeight="1" x14ac:dyDescent="0.2">
      <c r="A27" s="10" t="s">
        <v>3</v>
      </c>
      <c r="B27" s="115" t="s">
        <v>5</v>
      </c>
      <c r="C27" s="115"/>
      <c r="D27" s="115"/>
      <c r="E27" s="115"/>
      <c r="F27" s="115"/>
      <c r="G27" s="120"/>
      <c r="H27" s="120"/>
      <c r="K27" s="3"/>
      <c r="L27" s="4"/>
    </row>
    <row r="28" spans="1:12" ht="28.5" customHeight="1" x14ac:dyDescent="0.2">
      <c r="B28" s="121" t="s">
        <v>17</v>
      </c>
      <c r="C28" s="121"/>
      <c r="D28" s="121"/>
      <c r="E28" s="121"/>
      <c r="F28" s="121"/>
      <c r="G28" s="121"/>
      <c r="H28" s="121"/>
      <c r="K28" s="3"/>
      <c r="L28" s="4"/>
    </row>
    <row r="29" spans="1:12" ht="41.25" customHeight="1" x14ac:dyDescent="0.2">
      <c r="B29" s="115" t="s">
        <v>71</v>
      </c>
      <c r="C29" s="115"/>
      <c r="D29" s="115"/>
      <c r="E29" s="115"/>
      <c r="F29" s="115"/>
      <c r="G29" s="115"/>
      <c r="H29" s="115"/>
      <c r="K29" s="3"/>
      <c r="L29" s="4"/>
    </row>
    <row r="30" spans="1:12" ht="29.25" customHeight="1" x14ac:dyDescent="0.2">
      <c r="B30" s="115" t="s">
        <v>15</v>
      </c>
      <c r="C30" s="115"/>
      <c r="D30" s="115"/>
      <c r="E30" s="115"/>
      <c r="F30" s="115"/>
      <c r="G30" s="115"/>
      <c r="H30" s="115"/>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zoomScaleNormal="100" workbookViewId="0">
      <selection activeCell="D13" sqref="D13"/>
    </sheetView>
  </sheetViews>
  <sheetFormatPr defaultRowHeight="12.75" x14ac:dyDescent="0.2"/>
  <cols>
    <col min="1" max="2" width="9" customWidth="1"/>
    <col min="3" max="3" width="11.85546875" customWidth="1"/>
    <col min="4" max="4" width="11.140625" customWidth="1"/>
    <col min="5" max="5" width="4" customWidth="1"/>
    <col min="6" max="7" width="9" customWidth="1"/>
    <col min="8" max="8" width="12.42578125" customWidth="1"/>
    <col min="9" max="9" width="11" customWidth="1"/>
    <col min="10" max="10" width="5" customWidth="1"/>
  </cols>
  <sheetData>
    <row r="2" spans="1:10" ht="16.5" thickBot="1" x14ac:dyDescent="0.25">
      <c r="A2" s="100" t="s">
        <v>109</v>
      </c>
      <c r="B2" s="100"/>
      <c r="C2" s="102" t="s">
        <v>141</v>
      </c>
      <c r="D2" s="102"/>
      <c r="E2" s="100"/>
      <c r="F2" s="100" t="s">
        <v>112</v>
      </c>
      <c r="G2" s="100"/>
      <c r="H2" s="109"/>
      <c r="I2" s="111"/>
      <c r="J2" s="100"/>
    </row>
    <row r="3" spans="1:10" ht="15.75" x14ac:dyDescent="0.2">
      <c r="A3" s="100"/>
      <c r="B3" s="100"/>
      <c r="C3" s="100"/>
      <c r="D3" s="100"/>
      <c r="E3" s="100"/>
      <c r="F3" s="100"/>
      <c r="G3" s="100"/>
      <c r="H3" s="100"/>
      <c r="I3" s="100"/>
      <c r="J3" s="100"/>
    </row>
    <row r="4" spans="1:10" ht="16.5" thickBot="1" x14ac:dyDescent="0.3">
      <c r="A4" s="100" t="s">
        <v>110</v>
      </c>
      <c r="B4" s="100"/>
      <c r="C4" s="110"/>
      <c r="D4" s="112">
        <v>0.33333333333333331</v>
      </c>
      <c r="E4" s="100"/>
      <c r="F4" s="100"/>
      <c r="G4" s="100"/>
      <c r="H4" s="100"/>
      <c r="I4" s="100"/>
      <c r="J4" s="100"/>
    </row>
    <row r="5" spans="1:10" ht="15.75" x14ac:dyDescent="0.2">
      <c r="A5" s="100"/>
      <c r="B5" s="100"/>
      <c r="C5" s="100"/>
      <c r="D5" s="113"/>
      <c r="E5" s="100"/>
      <c r="F5" s="100"/>
      <c r="G5" s="100"/>
      <c r="H5" s="100"/>
      <c r="I5" s="100"/>
      <c r="J5" s="100"/>
    </row>
    <row r="6" spans="1:10" ht="16.5" thickBot="1" x14ac:dyDescent="0.3">
      <c r="A6" s="100" t="s">
        <v>111</v>
      </c>
      <c r="B6" s="100"/>
      <c r="C6" s="110"/>
      <c r="D6" s="112">
        <v>0.70833333333333337</v>
      </c>
      <c r="E6" s="100"/>
      <c r="F6" s="100" t="s">
        <v>113</v>
      </c>
      <c r="G6" s="100"/>
      <c r="H6" s="114">
        <v>8</v>
      </c>
      <c r="I6" s="111"/>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08"/>
      <c r="B24" s="105"/>
      <c r="C24" s="105"/>
      <c r="D24" s="105"/>
      <c r="E24" s="105"/>
      <c r="F24" s="105"/>
      <c r="G24" s="105"/>
      <c r="H24" s="105"/>
      <c r="I24" s="105"/>
      <c r="J24" s="105"/>
    </row>
    <row r="25" spans="1:10" ht="11.25" customHeight="1" x14ac:dyDescent="0.2">
      <c r="A25" s="106"/>
      <c r="B25" s="106"/>
      <c r="C25" s="106"/>
      <c r="D25" s="106"/>
      <c r="E25" s="106"/>
      <c r="F25" s="106"/>
      <c r="G25" s="106"/>
      <c r="H25" s="106"/>
      <c r="I25" s="106"/>
      <c r="J25" s="106"/>
    </row>
    <row r="26" spans="1:10" ht="15.75" x14ac:dyDescent="0.25">
      <c r="A26" s="108"/>
      <c r="B26" s="105"/>
      <c r="C26" s="105"/>
      <c r="D26" s="105"/>
      <c r="E26" s="105"/>
      <c r="F26" s="105"/>
      <c r="G26" s="105"/>
      <c r="H26" s="105"/>
      <c r="I26" s="105"/>
      <c r="J26" s="105"/>
    </row>
    <row r="27" spans="1:10" ht="11.25" customHeight="1" x14ac:dyDescent="0.2">
      <c r="A27" s="106"/>
      <c r="B27" s="106"/>
      <c r="C27" s="106"/>
      <c r="D27" s="106"/>
      <c r="E27" s="106"/>
      <c r="F27" s="106"/>
      <c r="G27" s="106"/>
      <c r="H27" s="106"/>
      <c r="I27" s="106"/>
      <c r="J27" s="106"/>
    </row>
    <row r="28" spans="1:10" ht="15.75" x14ac:dyDescent="0.25">
      <c r="A28" s="108"/>
      <c r="B28" s="105"/>
      <c r="C28" s="105"/>
      <c r="D28" s="105"/>
      <c r="E28" s="105"/>
      <c r="F28" s="105"/>
      <c r="G28" s="105"/>
      <c r="H28" s="105"/>
      <c r="I28" s="105"/>
      <c r="J28" s="105"/>
    </row>
    <row r="29" spans="1:10" ht="11.25" customHeight="1" x14ac:dyDescent="0.2">
      <c r="A29" s="106"/>
      <c r="B29" s="106"/>
      <c r="C29" s="106"/>
      <c r="D29" s="106"/>
      <c r="E29" s="106"/>
      <c r="F29" s="106"/>
      <c r="G29" s="106"/>
      <c r="H29" s="106"/>
      <c r="I29" s="106"/>
      <c r="J29" s="106"/>
    </row>
    <row r="30" spans="1:10" ht="16.5" thickBot="1" x14ac:dyDescent="0.25">
      <c r="A30" s="107"/>
      <c r="B30" s="107"/>
      <c r="C30" s="107"/>
      <c r="D30" s="107"/>
      <c r="E30" s="107"/>
      <c r="F30" s="107"/>
      <c r="G30" s="107"/>
      <c r="H30" s="107"/>
      <c r="I30" s="107"/>
      <c r="J30" s="107"/>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dataConsolidate/>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6" r:id="rId4" name="calDateSubmitted">
          <controlPr defaultSize="0" print="0" autoLine="0" linkedCell="$H$2" r:id="rId5">
            <anchor moveWithCells="1">
              <from>
                <xdr:col>5</xdr:col>
                <xdr:colOff>9525</xdr:colOff>
                <xdr:row>2</xdr:row>
                <xdr:rowOff>19050</xdr:rowOff>
              </from>
              <to>
                <xdr:col>8</xdr:col>
                <xdr:colOff>723900</xdr:colOff>
                <xdr:row>10</xdr:row>
                <xdr:rowOff>171450</xdr:rowOff>
              </to>
            </anchor>
          </controlPr>
        </control>
      </mc:Choice>
      <mc:Fallback>
        <control shapeId="1397776" r:id="rId4" name="calDateSubmitted"/>
      </mc:Fallback>
    </mc:AlternateContent>
    <mc:AlternateContent xmlns:mc="http://schemas.openxmlformats.org/markup-compatibility/2006">
      <mc:Choice Requires="x14">
        <control shapeId="1397775" r:id="rId6" name="btnPrintTimeOffForm">
          <controlPr print="0" autoLine="0" r:id="rId7">
            <anchor moveWithCells="1">
              <from>
                <xdr:col>8</xdr:col>
                <xdr:colOff>95250</xdr:colOff>
                <xdr:row>1</xdr:row>
                <xdr:rowOff>28575</xdr:rowOff>
              </from>
              <to>
                <xdr:col>11</xdr:col>
                <xdr:colOff>28575</xdr:colOff>
                <xdr:row>6</xdr:row>
                <xdr:rowOff>85725</xdr:rowOff>
              </to>
            </anchor>
          </controlPr>
        </control>
      </mc:Choice>
      <mc:Fallback>
        <control shapeId="1397775" r:id="rId6" name="btnPrintTimeOffForm"/>
      </mc:Fallback>
    </mc:AlternateContent>
    <mc:AlternateContent xmlns:mc="http://schemas.openxmlformats.org/markup-compatibility/2006">
      <mc:Choice Requires="x14">
        <control shapeId="1397774" r:id="rId8" name="calToDate">
          <controlPr defaultSize="0" print="0" autoLine="0" r:id="rId9">
            <anchor moveWithCells="1">
              <from>
                <xdr:col>2</xdr:col>
                <xdr:colOff>9525</xdr:colOff>
                <xdr:row>6</xdr:row>
                <xdr:rowOff>47625</xdr:rowOff>
              </from>
              <to>
                <xdr:col>6</xdr:col>
                <xdr:colOff>352425</xdr:colOff>
                <xdr:row>15</xdr:row>
                <xdr:rowOff>57150</xdr:rowOff>
              </to>
            </anchor>
          </controlPr>
        </control>
      </mc:Choice>
      <mc:Fallback>
        <control shapeId="1397774" r:id="rId8" name="calToDate"/>
      </mc:Fallback>
    </mc:AlternateContent>
    <mc:AlternateContent xmlns:mc="http://schemas.openxmlformats.org/markup-compatibility/2006">
      <mc:Choice Requires="x14">
        <control shapeId="1397772" r:id="rId10" name="calFromDate">
          <controlPr defaultSize="0" print="0" autoLine="0" r:id="rId11">
            <anchor moveWithCells="1">
              <from>
                <xdr:col>2</xdr:col>
                <xdr:colOff>9525</xdr:colOff>
                <xdr:row>4</xdr:row>
                <xdr:rowOff>9525</xdr:rowOff>
              </from>
              <to>
                <xdr:col>6</xdr:col>
                <xdr:colOff>352425</xdr:colOff>
                <xdr:row>13</xdr:row>
                <xdr:rowOff>9525</xdr:rowOff>
              </to>
            </anchor>
          </controlPr>
        </control>
      </mc:Choice>
      <mc:Fallback>
        <control shapeId="1397772" r:id="rId10" name="calFromDate"/>
      </mc:Fallback>
    </mc:AlternateContent>
    <mc:AlternateContent xmlns:mc="http://schemas.openxmlformats.org/markup-compatibility/2006">
      <mc:Choice Requires="x14">
        <control shapeId="1397761" r:id="rId12" name="chkPTO">
          <controlPr autoFill="0" autoLine="0" r:id="rId13">
            <anchor moveWithCells="1">
              <from>
                <xdr:col>1</xdr:col>
                <xdr:colOff>381000</xdr:colOff>
                <xdr:row>8</xdr:row>
                <xdr:rowOff>190500</xdr:rowOff>
              </from>
              <to>
                <xdr:col>2</xdr:col>
                <xdr:colOff>0</xdr:colOff>
                <xdr:row>10</xdr:row>
                <xdr:rowOff>57150</xdr:rowOff>
              </to>
            </anchor>
          </controlPr>
        </control>
      </mc:Choice>
      <mc:Fallback>
        <control shapeId="1397761" r:id="rId12" name="chkPTO"/>
      </mc:Fallback>
    </mc:AlternateContent>
    <mc:AlternateContent xmlns:mc="http://schemas.openxmlformats.org/markup-compatibility/2006">
      <mc:Choice Requires="x14">
        <control shapeId="1397762" r:id="rId14" name="chkCat">
          <controlPr autoFill="0" autoLine="0" r:id="rId13">
            <anchor moveWithCells="1">
              <from>
                <xdr:col>1</xdr:col>
                <xdr:colOff>381000</xdr:colOff>
                <xdr:row>10</xdr:row>
                <xdr:rowOff>190500</xdr:rowOff>
              </from>
              <to>
                <xdr:col>2</xdr:col>
                <xdr:colOff>0</xdr:colOff>
                <xdr:row>12</xdr:row>
                <xdr:rowOff>57150</xdr:rowOff>
              </to>
            </anchor>
          </controlPr>
        </control>
      </mc:Choice>
      <mc:Fallback>
        <control shapeId="1397762" r:id="rId14" name="chkCat"/>
      </mc:Fallback>
    </mc:AlternateContent>
    <mc:AlternateContent xmlns:mc="http://schemas.openxmlformats.org/markup-compatibility/2006">
      <mc:Choice Requires="x14">
        <control shapeId="1397763" r:id="rId15" name="chkComp">
          <controlPr autoFill="0" autoLine="0" r:id="rId13">
            <anchor moveWithCells="1">
              <from>
                <xdr:col>1</xdr:col>
                <xdr:colOff>381000</xdr:colOff>
                <xdr:row>17</xdr:row>
                <xdr:rowOff>171450</xdr:rowOff>
              </from>
              <to>
                <xdr:col>2</xdr:col>
                <xdr:colOff>0</xdr:colOff>
                <xdr:row>19</xdr:row>
                <xdr:rowOff>38100</xdr:rowOff>
              </to>
            </anchor>
          </controlPr>
        </control>
      </mc:Choice>
      <mc:Fallback>
        <control shapeId="1397763" r:id="rId15" name="chkComp"/>
      </mc:Fallback>
    </mc:AlternateContent>
    <mc:AlternateContent xmlns:mc="http://schemas.openxmlformats.org/markup-compatibility/2006">
      <mc:Choice Requires="x14">
        <control shapeId="1397764" r:id="rId16" name="chkOther">
          <controlPr autoFill="0" autoLine="0" r:id="rId13">
            <anchor moveWithCells="1">
              <from>
                <xdr:col>1</xdr:col>
                <xdr:colOff>381000</xdr:colOff>
                <xdr:row>19</xdr:row>
                <xdr:rowOff>180975</xdr:rowOff>
              </from>
              <to>
                <xdr:col>2</xdr:col>
                <xdr:colOff>0</xdr:colOff>
                <xdr:row>21</xdr:row>
                <xdr:rowOff>47625</xdr:rowOff>
              </to>
            </anchor>
          </controlPr>
        </control>
      </mc:Choice>
      <mc:Fallback>
        <control shapeId="1397764" r:id="rId16" name="chkOther"/>
      </mc:Fallback>
    </mc:AlternateContent>
    <mc:AlternateContent xmlns:mc="http://schemas.openxmlformats.org/markup-compatibility/2006">
      <mc:Choice Requires="x14">
        <control shapeId="1397765" r:id="rId17" name="chkCompEarned">
          <controlPr autoFill="0" autoLine="0" r:id="rId13">
            <anchor moveWithCells="1">
              <from>
                <xdr:col>0</xdr:col>
                <xdr:colOff>381000</xdr:colOff>
                <xdr:row>30</xdr:row>
                <xdr:rowOff>180975</xdr:rowOff>
              </from>
              <to>
                <xdr:col>1</xdr:col>
                <xdr:colOff>0</xdr:colOff>
                <xdr:row>32</xdr:row>
                <xdr:rowOff>47625</xdr:rowOff>
              </to>
            </anchor>
          </controlPr>
        </control>
      </mc:Choice>
      <mc:Fallback>
        <control shapeId="1397765" r:id="rId17" name="chkCompEarned"/>
      </mc:Fallback>
    </mc:AlternateContent>
    <mc:AlternateContent xmlns:mc="http://schemas.openxmlformats.org/markup-compatibility/2006">
      <mc:Choice Requires="x14">
        <control shapeId="1397766" r:id="rId18" name="chkOvertimeEarned">
          <controlPr autoFill="0" autoLine="0" r:id="rId13">
            <anchor moveWithCells="1">
              <from>
                <xdr:col>0</xdr:col>
                <xdr:colOff>381000</xdr:colOff>
                <xdr:row>33</xdr:row>
                <xdr:rowOff>180975</xdr:rowOff>
              </from>
              <to>
                <xdr:col>1</xdr:col>
                <xdr:colOff>0</xdr:colOff>
                <xdr:row>35</xdr:row>
                <xdr:rowOff>47625</xdr:rowOff>
              </to>
            </anchor>
          </controlPr>
        </control>
      </mc:Choice>
      <mc:Fallback>
        <control shapeId="1397766" r:id="rId18" name="chkOvertimeEarned"/>
      </mc:Fallback>
    </mc:AlternateContent>
    <mc:AlternateContent xmlns:mc="http://schemas.openxmlformats.org/markup-compatibility/2006">
      <mc:Choice Requires="x14">
        <control shapeId="1397769" r:id="rId19" name="boxEmployeeName">
          <controlPr print="0" autoFill="0" autoLine="0" linkedCell="$C$2" listFillRange="References!$A$2:$A$13" r:id="rId20">
            <anchor moveWithCells="1">
              <from>
                <xdr:col>2</xdr:col>
                <xdr:colOff>0</xdr:colOff>
                <xdr:row>1</xdr:row>
                <xdr:rowOff>0</xdr:rowOff>
              </from>
              <to>
                <xdr:col>4</xdr:col>
                <xdr:colOff>0</xdr:colOff>
                <xdr:row>1</xdr:row>
                <xdr:rowOff>190500</xdr:rowOff>
              </to>
            </anchor>
          </controlPr>
        </control>
      </mc:Choice>
      <mc:Fallback>
        <control shapeId="1397769" r:id="rId19" name="boxEmployeeName"/>
      </mc:Fallback>
    </mc:AlternateContent>
    <mc:AlternateContent xmlns:mc="http://schemas.openxmlformats.org/markup-compatibility/2006">
      <mc:Choice Requires="x14">
        <control shapeId="1397777" r:id="rId21" name="lblPrintLabel">
          <controlPr print="0" autoLine="0" r:id="rId22">
            <anchor moveWithCells="1">
              <from>
                <xdr:col>11</xdr:col>
                <xdr:colOff>123825</xdr:colOff>
                <xdr:row>1</xdr:row>
                <xdr:rowOff>180975</xdr:rowOff>
              </from>
              <to>
                <xdr:col>12</xdr:col>
                <xdr:colOff>180975</xdr:colOff>
                <xdr:row>5</xdr:row>
                <xdr:rowOff>190500</xdr:rowOff>
              </to>
            </anchor>
          </controlPr>
        </control>
      </mc:Choice>
      <mc:Fallback>
        <control shapeId="1397777" r:id="rId21"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2" t="s">
        <v>26</v>
      </c>
      <c r="B1" s="122"/>
      <c r="C1" s="122"/>
      <c r="D1" s="122"/>
      <c r="E1" s="122"/>
      <c r="N1" s="123" t="s">
        <v>39</v>
      </c>
      <c r="O1" s="123"/>
      <c r="P1" s="123"/>
      <c r="Q1" s="123"/>
      <c r="R1" s="123"/>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A3" sqref="A3"/>
    </sheetView>
  </sheetViews>
  <sheetFormatPr defaultRowHeight="12.75" x14ac:dyDescent="0.2"/>
  <sheetData>
    <row r="1" spans="1:1" x14ac:dyDescent="0.2">
      <c r="A1" t="s">
        <v>140</v>
      </c>
    </row>
    <row r="2" spans="1:1" x14ac:dyDescent="0.2">
      <c r="A2" t="s">
        <v>141</v>
      </c>
    </row>
    <row r="3" spans="1:1" x14ac:dyDescent="0.2">
      <c r="A3" t="s">
        <v>129</v>
      </c>
    </row>
    <row r="4" spans="1:1" x14ac:dyDescent="0.2">
      <c r="A4" t="s">
        <v>130</v>
      </c>
    </row>
    <row r="5" spans="1:1" x14ac:dyDescent="0.2">
      <c r="A5" t="s">
        <v>132</v>
      </c>
    </row>
    <row r="6" spans="1:1" x14ac:dyDescent="0.2">
      <c r="A6" t="s">
        <v>139</v>
      </c>
    </row>
    <row r="7" spans="1:1" x14ac:dyDescent="0.2">
      <c r="A7" t="s">
        <v>133</v>
      </c>
    </row>
    <row r="8" spans="1:1" x14ac:dyDescent="0.2">
      <c r="A8" t="s">
        <v>138</v>
      </c>
    </row>
    <row r="9" spans="1:1" x14ac:dyDescent="0.2">
      <c r="A9" t="s">
        <v>137</v>
      </c>
    </row>
    <row r="10" spans="1:1" x14ac:dyDescent="0.2">
      <c r="A10" t="s">
        <v>136</v>
      </c>
    </row>
    <row r="11" spans="1:1" x14ac:dyDescent="0.2">
      <c r="A11" t="s">
        <v>131</v>
      </c>
    </row>
    <row r="12" spans="1:1" x14ac:dyDescent="0.2">
      <c r="A12" t="s">
        <v>135</v>
      </c>
    </row>
    <row r="13" spans="1:1" x14ac:dyDescent="0.2">
      <c r="A13" t="s">
        <v>134</v>
      </c>
    </row>
  </sheetData>
  <sheetProtection password="ED3E" sheet="1" objects="1" scenarios="1"/>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2013-09-03T17:08:40Z</cp:lastPrinted>
  <dcterms:created xsi:type="dcterms:W3CDTF">2011-08-11T20:04:03Z</dcterms:created>
  <dcterms:modified xsi:type="dcterms:W3CDTF">2013-09-03T17:33:17Z</dcterms:modified>
</cp:coreProperties>
</file>