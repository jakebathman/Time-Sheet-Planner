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59"/>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<sst xmlns="http://schemas.openxmlformats.org/spreadsheetml/2006/main" count="206" uniqueCount="148">
  <si>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</si>
  <si>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</si>
  <si>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</si>
  <si>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</si>
  <si>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</si>
  <si>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</si>
  <si>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</si>
  <si>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</si>
  <si>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</si>
  <si>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</si>
  <si>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</si>
  <si>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</si>
  <si>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</si>
  <si>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</si>
  <si>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</si>
  <si>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</si>
  <si>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</si>
  <si>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</si>
  <si>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</si>
  <si>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</si>
  <si>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</si>
  <si>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</si>
  <si>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</si>
  <si>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</si>
  <si>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</si>
  <si>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</si>
  <si>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</si>
  <si>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</si>
  <si>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</si>
  <si>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</si>
  <si>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</si>
  <si>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</si>
  <si>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</si>
  <si>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</si>
  <si>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</si>
  <si>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</si>
  <si>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</si>
  <si>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</si>
  <si>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</si>
  <si>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</si>
  <si>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</si>
  <si>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</si>
  <si>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</si>
  <si>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</si>
  <si>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</si>
  <si>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</si>
  <si>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</si>
  <si>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</si>
  <si>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</si>
  <si>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</si>
  <si>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</si>
  <si>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</si>
  <si>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</si>
  <si>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</si>
  <si>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</si>
  <si>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</si>
  <si>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</si>
  <si>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</si>
  <si>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</si>
  <si>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</si>
  <si>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</si>
  <si>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</si>
  <si>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</si>
  <si>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</si>
  <si>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</si>
  <si>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</si>
  <si>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</si>
  <si>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</si>
  <si>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</si>
  <si>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</si>
  <si>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</si>
  <si>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</si>
  <si>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</si>
  <si>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</si>
  <si>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</si>
  <si>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</si>
  <si>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</si>
  <si>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</si>
  <si>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</si>
  <si>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</si>
  <si>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</si>
  <si>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</si>
  <si>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</si>
  <si>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</si>
  <si>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</si>
  <si>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</si>
  <si>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</si>
  <si>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</si>
  <si>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</si>
  <si>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</si>
  <si>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</si>
  <si>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</si>
  <si>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</si>
  <si>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</si>
  <si>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</si>
  <si>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</si>
  <si>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</si>
  <si>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</si>
  <si>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</si>
  <si>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</si>
  <si>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</si>
  <si>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</si>
  <si>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</si>
  <si>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</si>
  <si>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</si>
  <si>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</si>
  <si>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</si>
  <si>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</si>
  <si>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</si>
  <si>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</si>
  <si>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</si>
  <si>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</si>
  <si>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</si>
  <si>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</si>
  <si>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</si>
  <si>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</si>
  <si>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</si>
  <si>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</si>
  <si>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</si>
  <si>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</si>
  <si>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</si>
  <si>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</si>
  <si>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</si>
  <si>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</si>
  <si>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</si>
  <si>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</si>
  <si>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</si>
  <si>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</si>
  <si>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</si>
  <si>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</si>
  <si>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</si>
  <si>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</si>
  <si>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</si>
  <si>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</si>
  <si>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</si>
  <si>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</si>
  <si>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</si>
  <si>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</si>
  <si>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</si>
  <si>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</si>
  <si>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</si>
  <si>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</si>
  <si>
    <t>Time Off Code</t>
  </si>
  <si>
    <t>Holiday</t>
  </si>
  <si>
    <t>TimeOffCodes</t>
  </si>
  <si>
    <t>PTO</t>
  </si>
  <si>
    <t>Comp</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</si>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</sst>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8.xml"/><Relationship Id="rId2" Type="http://schemas.openxmlformats.org/officeDocument/2006/relationships/drawing" Target="../drawings/drawing4.xml"/><Relationship Id="rId16" Type="http://schemas.openxmlformats.org/officeDocument/2006/relationships/image" Target="../media/image5.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4.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topLeftCell="E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10" customWidth="1"/>
    <col min="9" max="9" width="10.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142</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5" t="str">
        <f>IF(SUM(I3:I9)&gt;0,"PTO:","")</f>
        <v/>
      </c>
      <c r="I12" s="116" t="str">
        <f>IF(SUMIF(H3:H9,"=PTO",I3:I9)&gt;0,SUMIF(H3:H9,"=PTO",I3:I9),IF(AND(SUM(I3:I9)&gt;0,I15&gt;0,I15&lt;&gt;""),"?",""))</f>
        <v/>
      </c>
      <c r="J12" s="5"/>
      <c r="K12" s="5"/>
      <c r="L12" s="3" t="str">
        <f>IF(SUM(I3:I9)&gt;=(B1*0.8),"Vacation week, huh?","")</f>
        <v/>
      </c>
      <c r="M12" s="4"/>
    </row>
    <row r="13" spans="1:14" x14ac:dyDescent="0.2">
      <c r="B13" s="89"/>
      <c r="C13" s="6"/>
      <c r="D13" s="6"/>
      <c r="E13" s="6"/>
      <c r="F13" s="67"/>
      <c r="G13" s="90"/>
      <c r="H13" s="115" t="str">
        <f>IF(SUM(I3:I9)&gt;0,"Comp:","")</f>
        <v/>
      </c>
      <c r="I13" s="117"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5" t="str">
        <f>IF(SUM(I3:I9)&gt;0,"Holiday:","")</f>
        <v/>
      </c>
      <c r="I14" s="117" t="str">
        <f>IF(SUMIF(H3:H9,"=Holiday",I3:I9)&gt;0,SUMIF(H3:H9,"=Holiday",I3:I9),IF(AND(SUM(I3:I9)&gt;0,I15&gt;0,I15&lt;&gt;""),"?",""))</f>
        <v/>
      </c>
      <c r="L14" s="3"/>
      <c r="M14" s="4"/>
    </row>
    <row r="15" spans="1:14" x14ac:dyDescent="0.2">
      <c r="B15" s="67"/>
      <c r="G15" s="14"/>
      <c r="H15" s="115" t="str">
        <f>IF(AND(SUM(I3:I9)&gt;0,I15&gt;0,I15&lt;&gt;""),"Other:","")</f>
        <v/>
      </c>
      <c r="I15" s="116"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2" priority="13" stopIfTrue="1" operator="notEqual">
      <formula>""</formula>
    </cfRule>
  </conditionalFormatting>
  <conditionalFormatting sqref="A19:B19">
    <cfRule type="cellIs" dxfId="31" priority="12" stopIfTrue="1" operator="notEqual">
      <formula>""</formula>
    </cfRule>
  </conditionalFormatting>
  <conditionalFormatting sqref="I3:J7">
    <cfRule type="containsBlanks" dxfId="30" priority="14" stopIfTrue="1">
      <formula>LEN(TRIM(I3))=0</formula>
    </cfRule>
  </conditionalFormatting>
  <conditionalFormatting sqref="B3:C3 E3:G3 B4 D4:G4 B5:G7">
    <cfRule type="containsBlanks" dxfId="29" priority="11" stopIfTrue="1">
      <formula>LEN(TRIM(B3))=0</formula>
    </cfRule>
  </conditionalFormatting>
  <conditionalFormatting sqref="D3">
    <cfRule type="containsBlanks" dxfId="28" priority="10" stopIfTrue="1">
      <formula>LEN(TRIM(D3))=0</formula>
    </cfRule>
  </conditionalFormatting>
  <conditionalFormatting sqref="I9:J9">
    <cfRule type="containsBlanks" dxfId="27" priority="9" stopIfTrue="1">
      <formula>LEN(TRIM(I9))=0</formula>
    </cfRule>
  </conditionalFormatting>
  <conditionalFormatting sqref="B9:G9">
    <cfRule type="containsBlanks" dxfId="26" priority="8" stopIfTrue="1">
      <formula>LEN(TRIM(B9))=0</formula>
    </cfRule>
  </conditionalFormatting>
  <conditionalFormatting sqref="I8:J8">
    <cfRule type="containsBlanks" dxfId="25" priority="7" stopIfTrue="1">
      <formula>LEN(TRIM(I8))=0</formula>
    </cfRule>
  </conditionalFormatting>
  <conditionalFormatting sqref="B8:G8">
    <cfRule type="containsBlanks" dxfId="24" priority="6" stopIfTrue="1">
      <formula>LEN(TRIM(B8))=0</formula>
    </cfRule>
  </conditionalFormatting>
  <conditionalFormatting sqref="C4">
    <cfRule type="containsBlanks" dxfId="23" priority="5" stopIfTrue="1">
      <formula>LEN(TRIM(C4))=0</formula>
    </cfRule>
  </conditionalFormatting>
  <conditionalFormatting sqref="H3">
    <cfRule type="containsBlanks" dxfId="22" priority="4" stopIfTrue="1">
      <formula>LEN(TRIM(H3))=0</formula>
    </cfRule>
  </conditionalFormatting>
  <conditionalFormatting sqref="H4:H7">
    <cfRule type="containsBlanks" dxfId="21" priority="3" stopIfTrue="1">
      <formula>LEN(TRIM(H4))=0</formula>
    </cfRule>
  </conditionalFormatting>
  <conditionalFormatting sqref="H8">
    <cfRule type="containsBlanks" dxfId="20" priority="2" stopIfTrue="1">
      <formula>LEN(TRIM(H8))=0</formula>
    </cfRule>
  </conditionalFormatting>
  <conditionalFormatting sqref="H9">
    <cfRule type="containsBlanks" dxfId="19"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D7" sqref="D7"/>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41522</v>
      </c>
      <c r="I2" s="111"/>
      <c r="J2" s="100"/>
    </row>
    <row r="3" spans="1:10" ht="15.75" x14ac:dyDescent="0.2">
      <c r="A3" s="100"/>
      <c r="B3" s="100"/>
      <c r="C3" s="100"/>
      <c r="D3" s="100"/>
      <c r="E3" s="100"/>
      <c r="F3" s="100"/>
      <c r="G3" s="100"/>
      <c r="H3" s="100"/>
      <c r="I3" s="100"/>
      <c r="J3" s="100"/>
    </row>
    <row r="4" spans="1:10" ht="16.5" thickBot="1" x14ac:dyDescent="0.3">
      <c r="A4" s="100" t="s">
        <v>110</v>
      </c>
      <c r="B4" s="100"/>
      <c r="C4" s="110">
        <v>41522</v>
      </c>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v>41522</v>
      </c>
      <c r="D6" s="112">
        <v>0.79166666666666663</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5" r:id="rId4" name="btnPrintTimeOffForm">
          <controlPr print="0" autoLine="0" r:id="rId5">
            <anchor moveWithCells="1">
              <from>
                <xdr:col>8</xdr:col>
                <xdr:colOff>95250</xdr:colOff>
                <xdr:row>1</xdr:row>
                <xdr:rowOff>28575</xdr:rowOff>
              </from>
              <to>
                <xdr:col>11</xdr:col>
                <xdr:colOff>28575</xdr:colOff>
                <xdr:row>6</xdr:row>
                <xdr:rowOff>85725</xdr:rowOff>
              </to>
            </anchor>
          </controlPr>
        </control>
      </mc:Choice>
      <mc:Fallback>
        <control shapeId="1397775" r:id="rId4" name="btnPrintTimeOffForm"/>
      </mc:Fallback>
    </mc:AlternateContent>
    <mc:AlternateContent xmlns:mc="http://schemas.openxmlformats.org/markup-compatibility/2006">
      <mc:Choice Requires="x14">
        <control shapeId="1397761" r:id="rId6" name="chkPTO">
          <controlPr autoFill="0" autoLine="0" r:id="rId7">
            <anchor moveWithCells="1">
              <from>
                <xdr:col>1</xdr:col>
                <xdr:colOff>381000</xdr:colOff>
                <xdr:row>8</xdr:row>
                <xdr:rowOff>190500</xdr:rowOff>
              </from>
              <to>
                <xdr:col>2</xdr:col>
                <xdr:colOff>0</xdr:colOff>
                <xdr:row>10</xdr:row>
                <xdr:rowOff>57150</xdr:rowOff>
              </to>
            </anchor>
          </controlPr>
        </control>
      </mc:Choice>
      <mc:Fallback>
        <control shapeId="1397761" r:id="rId6" name="chkPTO"/>
      </mc:Fallback>
    </mc:AlternateContent>
    <mc:AlternateContent xmlns:mc="http://schemas.openxmlformats.org/markup-compatibility/2006">
      <mc:Choice Requires="x14">
        <control shapeId="1397762" r:id="rId8" name="chkCat">
          <controlPr autoFill="0" autoLine="0" r:id="rId7">
            <anchor moveWithCells="1">
              <from>
                <xdr:col>1</xdr:col>
                <xdr:colOff>381000</xdr:colOff>
                <xdr:row>10</xdr:row>
                <xdr:rowOff>190500</xdr:rowOff>
              </from>
              <to>
                <xdr:col>2</xdr:col>
                <xdr:colOff>0</xdr:colOff>
                <xdr:row>12</xdr:row>
                <xdr:rowOff>57150</xdr:rowOff>
              </to>
            </anchor>
          </controlPr>
        </control>
      </mc:Choice>
      <mc:Fallback>
        <control shapeId="1397762" r:id="rId8" name="chkCat"/>
      </mc:Fallback>
    </mc:AlternateContent>
    <mc:AlternateContent xmlns:mc="http://schemas.openxmlformats.org/markup-compatibility/2006">
      <mc:Choice Requires="x14">
        <control shapeId="1397763" r:id="rId9" name="chkComp">
          <controlPr autoFill="0" autoLine="0" r:id="rId7">
            <anchor moveWithCells="1">
              <from>
                <xdr:col>1</xdr:col>
                <xdr:colOff>381000</xdr:colOff>
                <xdr:row>17</xdr:row>
                <xdr:rowOff>171450</xdr:rowOff>
              </from>
              <to>
                <xdr:col>2</xdr:col>
                <xdr:colOff>0</xdr:colOff>
                <xdr:row>19</xdr:row>
                <xdr:rowOff>38100</xdr:rowOff>
              </to>
            </anchor>
          </controlPr>
        </control>
      </mc:Choice>
      <mc:Fallback>
        <control shapeId="1397763" r:id="rId9" name="chkComp"/>
      </mc:Fallback>
    </mc:AlternateContent>
    <mc:AlternateContent xmlns:mc="http://schemas.openxmlformats.org/markup-compatibility/2006">
      <mc:Choice Requires="x14">
        <control shapeId="1397764" r:id="rId10" name="chkOther">
          <controlPr autoFill="0" autoLine="0" r:id="rId7">
            <anchor moveWithCells="1">
              <from>
                <xdr:col>1</xdr:col>
                <xdr:colOff>381000</xdr:colOff>
                <xdr:row>19</xdr:row>
                <xdr:rowOff>180975</xdr:rowOff>
              </from>
              <to>
                <xdr:col>2</xdr:col>
                <xdr:colOff>0</xdr:colOff>
                <xdr:row>21</xdr:row>
                <xdr:rowOff>47625</xdr:rowOff>
              </to>
            </anchor>
          </controlPr>
        </control>
      </mc:Choice>
      <mc:Fallback>
        <control shapeId="1397764" r:id="rId10" name="chkOther"/>
      </mc:Fallback>
    </mc:AlternateContent>
    <mc:AlternateContent xmlns:mc="http://schemas.openxmlformats.org/markup-compatibility/2006">
      <mc:Choice Requires="x14">
        <control shapeId="1397765" r:id="rId11" name="chkCompEarned">
          <controlPr autoFill="0" autoLine="0" r:id="rId7">
            <anchor moveWithCells="1">
              <from>
                <xdr:col>0</xdr:col>
                <xdr:colOff>381000</xdr:colOff>
                <xdr:row>30</xdr:row>
                <xdr:rowOff>180975</xdr:rowOff>
              </from>
              <to>
                <xdr:col>1</xdr:col>
                <xdr:colOff>0</xdr:colOff>
                <xdr:row>32</xdr:row>
                <xdr:rowOff>47625</xdr:rowOff>
              </to>
            </anchor>
          </controlPr>
        </control>
      </mc:Choice>
      <mc:Fallback>
        <control shapeId="1397765" r:id="rId11" name="chkCompEarned"/>
      </mc:Fallback>
    </mc:AlternateContent>
    <mc:AlternateContent xmlns:mc="http://schemas.openxmlformats.org/markup-compatibility/2006">
      <mc:Choice Requires="x14">
        <control shapeId="1397766" r:id="rId12" name="chkOvertimeEarned">
          <controlPr autoFill="0" autoLine="0" r:id="rId7">
            <anchor moveWithCells="1">
              <from>
                <xdr:col>0</xdr:col>
                <xdr:colOff>381000</xdr:colOff>
                <xdr:row>33</xdr:row>
                <xdr:rowOff>180975</xdr:rowOff>
              </from>
              <to>
                <xdr:col>1</xdr:col>
                <xdr:colOff>0</xdr:colOff>
                <xdr:row>35</xdr:row>
                <xdr:rowOff>47625</xdr:rowOff>
              </to>
            </anchor>
          </controlPr>
        </control>
      </mc:Choice>
      <mc:Fallback>
        <control shapeId="1397766" r:id="rId12" name="chkOvertimeEarned"/>
      </mc:Fallback>
    </mc:AlternateContent>
    <mc:AlternateContent xmlns:mc="http://schemas.openxmlformats.org/markup-compatibility/2006">
      <mc:Choice Requires="x14">
        <control shapeId="1397769" r:id="rId13" name="boxEmployeeName">
          <controlPr print="0" autoFill="0" autoLine="0" linkedCell="$C$2" listFillRange="References!$A$2:$A$13" r:id="rId14">
            <anchor moveWithCells="1">
              <from>
                <xdr:col>2</xdr:col>
                <xdr:colOff>0</xdr:colOff>
                <xdr:row>1</xdr:row>
                <xdr:rowOff>0</xdr:rowOff>
              </from>
              <to>
                <xdr:col>4</xdr:col>
                <xdr:colOff>0</xdr:colOff>
                <xdr:row>1</xdr:row>
                <xdr:rowOff>190500</xdr:rowOff>
              </to>
            </anchor>
          </controlPr>
        </control>
      </mc:Choice>
      <mc:Fallback>
        <control shapeId="1397769" r:id="rId13" name="boxEmployeeName"/>
      </mc:Fallback>
    </mc:AlternateContent>
    <mc:AlternateContent xmlns:mc="http://schemas.openxmlformats.org/markup-compatibility/2006">
      <mc:Choice Requires="x14">
        <control shapeId="1397777" r:id="rId15" name="lblPrintLabel">
          <controlPr print="0" autoLine="0" r:id="rId16">
            <anchor moveWithCells="1">
              <from>
                <xdr:col>11</xdr:col>
                <xdr:colOff>123825</xdr:colOff>
                <xdr:row>1</xdr:row>
                <xdr:rowOff>180975</xdr:rowOff>
              </from>
              <to>
                <xdr:col>12</xdr:col>
                <xdr:colOff>180975</xdr:colOff>
                <xdr:row>5</xdr:row>
                <xdr:rowOff>190500</xdr:rowOff>
              </to>
            </anchor>
          </controlPr>
        </control>
      </mc:Choice>
      <mc:Fallback>
        <control shapeId="1397777" r:id="rId15"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5" t="s">
        <v>26</v>
      </c>
      <c r="B1" s="125"/>
      <c r="C1" s="125"/>
      <c r="D1" s="125"/>
      <c r="E1" s="125"/>
      <c r="N1" s="126" t="s">
        <v>39</v>
      </c>
      <c r="O1" s="126"/>
      <c r="P1" s="126"/>
      <c r="Q1" s="126"/>
      <c r="R1" s="12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3"/>
  <sheetViews>
    <sheetView workbookViewId="0">
      <selection activeCell="B1" sqref="B1:B5"/>
    </sheetView>
  </sheetViews>
  <sheetFormatPr defaultRowHeight="12.75" x14ac:dyDescent="0.2"/>
  <sheetData>
    <row r="1" spans="1:2" x14ac:dyDescent="0.2">
      <c r="A1" t="s">
        <v>140</v>
      </c>
      <c r="B1" t="s">
        <v>144</v>
      </c>
    </row>
    <row r="2" spans="1:2" x14ac:dyDescent="0.2">
      <c r="A2" t="s">
        <v>141</v>
      </c>
      <c r="B2" t="s">
        <v>147</v>
      </c>
    </row>
    <row r="3" spans="1:2" x14ac:dyDescent="0.2">
      <c r="A3" t="s">
        <v>129</v>
      </c>
      <c r="B3" t="s">
        <v>145</v>
      </c>
    </row>
    <row r="4" spans="1:2" x14ac:dyDescent="0.2">
      <c r="A4" t="s">
        <v>130</v>
      </c>
      <c r="B4" t="s">
        <v>146</v>
      </c>
    </row>
    <row r="5" spans="1:2" x14ac:dyDescent="0.2">
      <c r="A5" t="s">
        <v>132</v>
      </c>
      <c r="B5" t="s">
        <v>143</v>
      </c>
    </row>
    <row r="6" spans="1:2" x14ac:dyDescent="0.2">
      <c r="A6" t="s">
        <v>139</v>
      </c>
    </row>
    <row r="7" spans="1:2" x14ac:dyDescent="0.2">
      <c r="A7" t="s">
        <v>133</v>
      </c>
    </row>
    <row r="8" spans="1:2" x14ac:dyDescent="0.2">
      <c r="A8" t="s">
        <v>138</v>
      </c>
    </row>
    <row r="9" spans="1:2" x14ac:dyDescent="0.2">
      <c r="A9" t="s">
        <v>137</v>
      </c>
    </row>
    <row r="10" spans="1:2" x14ac:dyDescent="0.2">
      <c r="A10" t="s">
        <v>136</v>
      </c>
    </row>
    <row r="11" spans="1:2" x14ac:dyDescent="0.2">
      <c r="A11" t="s">
        <v>131</v>
      </c>
    </row>
    <row r="12" spans="1:2" x14ac:dyDescent="0.2">
      <c r="A12" t="s">
        <v>135</v>
      </c>
    </row>
    <row r="13" spans="1:2"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2013-09-09T17:05:04Z</dcterms:modified>
</cp:coreProperties>
</file>