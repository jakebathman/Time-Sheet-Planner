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Example" sheetId="1362" r:id="rId4"/>
    <sheet name="User Prefs" sheetId="5" r:id="rId5"/>
    <sheet name="Changelog" sheetId="8" r:id="rId6"/>
    <sheet name="PeopleSoft" sheetId="1709" r:id="rId7"/>
  </sheets>
  <functionGroups builtInGroupCount="17"/>
  <calcPr calcId="145621"/>
</workbook>
</file>

<file path=xl/calcChain.xml><?xml version="1.0" encoding="utf-8"?>
<calcChain xmlns="http://schemas.openxmlformats.org/spreadsheetml/2006/main">
  <c r="K12" i="1832" l="1"/>
  <c r="K10" i="1832"/>
  <c r="K13" i="1832" s="1"/>
  <c r="K11" i="1832" l="1"/>
  <c r="I21" i="198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G12" i="1832"/>
  <c r="G15" i="1832" s="1"/>
  <c r="H15" i="1832" s="1"/>
  <c r="L10" i="1832"/>
  <c r="L9" i="1832"/>
  <c r="J9" i="1832"/>
  <c r="L8" i="1832"/>
  <c r="J8" i="1832"/>
  <c r="L7" i="1832"/>
  <c r="J7" i="1832"/>
  <c r="L6" i="1832"/>
  <c r="J6" i="1832"/>
  <c r="L5" i="1832"/>
  <c r="J5" i="1832"/>
  <c r="J4" i="1832"/>
  <c r="J3" i="1832"/>
  <c r="A22" i="1836" l="1"/>
  <c r="A23" i="1836" s="1"/>
  <c r="B21" i="1836"/>
  <c r="B22" i="1836" s="1"/>
  <c r="K16" i="1836"/>
  <c r="A14" i="1832"/>
  <c r="H12" i="1832"/>
  <c r="L11" i="1832" s="1"/>
  <c r="G13" i="1832"/>
  <c r="H13" i="1832" s="1"/>
  <c r="G14" i="1832"/>
  <c r="H14" i="1832" s="1"/>
  <c r="A24" i="1836" l="1"/>
  <c r="C23" i="1836"/>
  <c r="C24" i="1836" l="1"/>
  <c r="B24" i="1836"/>
  <c r="K17" i="1362" l="1"/>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alcChain>
</file>

<file path=xl/comments1.xml><?xml version="1.0" encoding="utf-8"?>
<comments xmlns="http://schemas.openxmlformats.org/spreadsheetml/2006/main">
  <authors>
    <author>Jacob Bathman</author>
  </authors>
  <commentList>
    <comment ref="B10" authorId="0">
      <text/>
    </comment>
    <comment ref="C10" authorId="0">
      <text/>
    </comment>
    <comment ref="D10" authorId="0">
      <text/>
    </comment>
    <comment ref="E10" authorId="0">
      <text/>
    </comment>
    <comment ref="F10" authorId="0">
      <text/>
    </comment>
    <comment ref="G10"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<sst xmlns="http://schemas.openxmlformats.org/spreadsheetml/2006/main" count="193" uniqueCount="110">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</sst>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2"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
      <i/>
      <sz val="10"/>
      <color indexed="8"/>
      <name val="Arial"/>
      <family val="2"/>
    </font>
    <font>
      <u/>
      <sz val="10"/>
      <color theme="10"/>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43" fontId="5"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118">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10"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1"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3">
    <cellStyle name="Comma" xfId="1" builtinId="3"/>
    <cellStyle name="Hyperlink" xfId="2" builtinId="8"/>
    <cellStyle name="Normal" xfId="0" builtinId="0"/>
  </cellStyles>
  <dxfs count="33">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tabSelected="1" zoomScale="110" zoomScaleNormal="110" workbookViewId="0">
      <selection activeCell="B8" sqref="B8"/>
    </sheetView>
  </sheetViews>
  <sheetFormatPr defaultColWidth="17.140625" defaultRowHeight="12.75" customHeight="1" x14ac:dyDescent="0.2"/>
  <cols>
    <col min="1" max="1" width="12.85546875" customWidth="1"/>
    <col min="2" max="7" width="11.42578125" customWidth="1"/>
    <col min="8" max="8" width="5.28515625" customWidth="1"/>
    <col min="9" max="9" width="3" hidden="1" customWidth="1"/>
    <col min="10" max="10" width="1.7109375" hidden="1" customWidth="1"/>
    <col min="11" max="11" width="23.42578125" customWidth="1"/>
    <col min="12" max="12" width="56.85546875" bestFit="1" customWidth="1"/>
    <col min="13" max="13" width="25" customWidth="1"/>
    <col min="14" max="23" width="17.140625" customWidth="1"/>
  </cols>
  <sheetData>
    <row r="1" spans="1:13" ht="51" x14ac:dyDescent="0.2">
      <c r="A1" s="87" t="s">
        <v>107</v>
      </c>
      <c r="B1" s="86">
        <v>40</v>
      </c>
    </row>
    <row r="2" spans="1:13" ht="26.25" thickBot="1" x14ac:dyDescent="0.25">
      <c r="A2" s="103"/>
      <c r="B2" s="3" t="s">
        <v>4</v>
      </c>
      <c r="C2" s="3" t="s">
        <v>13</v>
      </c>
      <c r="D2" s="3" t="s">
        <v>15</v>
      </c>
      <c r="E2" s="3" t="s">
        <v>0</v>
      </c>
      <c r="F2" s="3" t="s">
        <v>4</v>
      </c>
      <c r="G2" s="3" t="s">
        <v>0</v>
      </c>
      <c r="H2" s="3" t="s">
        <v>109</v>
      </c>
      <c r="I2" s="69"/>
      <c r="J2" s="3"/>
      <c r="K2" s="4" t="s">
        <v>108</v>
      </c>
      <c r="L2" s="25" t="s">
        <v>18</v>
      </c>
      <c r="M2" s="20" t="s">
        <v>20</v>
      </c>
    </row>
    <row r="3" spans="1:13" ht="12.75" customHeight="1" x14ac:dyDescent="0.2">
      <c r="A3" s="105" t="s">
        <v>11</v>
      </c>
      <c r="B3" s="30"/>
      <c r="C3" s="31"/>
      <c r="D3" s="31"/>
      <c r="E3" s="31"/>
      <c r="F3" s="31"/>
      <c r="G3" s="75"/>
      <c r="H3" s="32"/>
      <c r="I3" s="33"/>
      <c r="J3" s="34" t="str">
        <f>IF(OR(I3="comp",I3="cat",I3="pto",I3=""),"",I3)</f>
        <v/>
      </c>
      <c r="K3" s="95"/>
      <c r="L3" s="3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ht="12.75" customHeight="1" x14ac:dyDescent="0.2">
      <c r="A4" s="105" t="s">
        <v>12</v>
      </c>
      <c r="B4" s="46"/>
      <c r="C4" s="47"/>
      <c r="D4" s="47"/>
      <c r="E4" s="47"/>
      <c r="F4" s="82"/>
      <c r="G4" s="47"/>
      <c r="H4" s="40"/>
      <c r="I4" s="42"/>
      <c r="J4" s="48" t="str">
        <f t="shared" ref="J4:J9" si="1">IF(OR(I4="comp",I4="cat",I4="pto",I4=""),"",I4)</f>
        <v/>
      </c>
      <c r="K4" s="97"/>
      <c r="L4" s="44" t="str">
        <f t="shared" si="0"/>
        <v/>
      </c>
      <c r="M4" s="50"/>
    </row>
    <row r="5" spans="1:13" ht="12.75" customHeight="1" x14ac:dyDescent="0.2">
      <c r="A5" s="105" t="s">
        <v>14</v>
      </c>
      <c r="B5" s="46"/>
      <c r="C5" s="47"/>
      <c r="D5" s="47"/>
      <c r="E5" s="47"/>
      <c r="F5" s="47"/>
      <c r="G5" s="47"/>
      <c r="H5" s="40"/>
      <c r="I5" s="42"/>
      <c r="J5" s="48" t="str">
        <f t="shared" si="1"/>
        <v/>
      </c>
      <c r="K5" s="97"/>
      <c r="L5" s="44" t="str">
        <f t="shared" si="0"/>
        <v/>
      </c>
      <c r="M5" s="50"/>
    </row>
    <row r="6" spans="1:13" ht="12.75" customHeight="1" x14ac:dyDescent="0.2">
      <c r="A6" s="105" t="s">
        <v>10</v>
      </c>
      <c r="B6" s="46"/>
      <c r="C6" s="47"/>
      <c r="D6" s="47"/>
      <c r="E6" s="47"/>
      <c r="F6" s="47"/>
      <c r="G6" s="47"/>
      <c r="H6" s="40"/>
      <c r="I6" s="42"/>
      <c r="J6" s="48" t="str">
        <f t="shared" si="1"/>
        <v/>
      </c>
      <c r="K6" s="97"/>
      <c r="L6" s="44" t="str">
        <f t="shared" si="0"/>
        <v/>
      </c>
      <c r="M6" s="50"/>
    </row>
    <row r="7" spans="1:13" ht="12.75" customHeight="1" x14ac:dyDescent="0.2">
      <c r="A7" s="105" t="s">
        <v>16</v>
      </c>
      <c r="B7" s="46"/>
      <c r="C7" s="47"/>
      <c r="D7" s="47"/>
      <c r="E7" s="47"/>
      <c r="F7" s="47"/>
      <c r="G7" s="47"/>
      <c r="H7" s="66"/>
      <c r="I7" s="42"/>
      <c r="J7" s="48" t="str">
        <f t="shared" si="1"/>
        <v/>
      </c>
      <c r="K7" s="97"/>
      <c r="L7" s="44" t="str">
        <f t="shared" si="0"/>
        <v/>
      </c>
      <c r="M7" s="50"/>
    </row>
    <row r="8" spans="1:13" ht="12.75" customHeight="1" x14ac:dyDescent="0.2">
      <c r="A8" s="104" t="s">
        <v>9</v>
      </c>
      <c r="B8" s="46"/>
      <c r="C8" s="47"/>
      <c r="D8" s="47"/>
      <c r="E8" s="47"/>
      <c r="F8" s="47"/>
      <c r="G8" s="47"/>
      <c r="H8" s="66"/>
      <c r="I8" s="42"/>
      <c r="J8" s="48" t="str">
        <f t="shared" si="1"/>
        <v/>
      </c>
      <c r="K8" s="97"/>
      <c r="L8" s="44" t="str">
        <f t="shared" si="0"/>
        <v/>
      </c>
      <c r="M8" s="50"/>
    </row>
    <row r="9" spans="1:13" s="17" customFormat="1" ht="12.75" customHeight="1" thickBot="1" x14ac:dyDescent="0.25">
      <c r="A9" s="106" t="s">
        <v>97</v>
      </c>
      <c r="B9" s="51"/>
      <c r="C9" s="52"/>
      <c r="D9" s="52"/>
      <c r="E9" s="52"/>
      <c r="F9" s="52"/>
      <c r="G9" s="52"/>
      <c r="H9" s="53"/>
      <c r="I9" s="54"/>
      <c r="J9" s="55" t="str">
        <f t="shared" si="1"/>
        <v/>
      </c>
      <c r="K9" s="98"/>
      <c r="L9" s="5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58"/>
    </row>
    <row r="10" spans="1:13" x14ac:dyDescent="0.2">
      <c r="A10" s="91"/>
      <c r="B10" s="71"/>
      <c r="C10" s="72"/>
      <c r="D10" s="72"/>
      <c r="E10" s="72"/>
      <c r="F10" s="72"/>
      <c r="G10" s="72"/>
      <c r="H10" s="7"/>
      <c r="I10" s="3"/>
      <c r="J10" s="3"/>
      <c r="K10" s="93">
        <f>SUM(K3:K9)</f>
        <v>0</v>
      </c>
      <c r="L10" s="36" t="str">
        <f>CONCATENATE(IF(ISODD(COUNTA(B10:G10)),"&lt;--- Incorrect or incomplete entries. ",""),IF(H10&gt;0," You've entered time off for Saturday. Are you sure?",""),IF(AND(OR(E10&lt;B10,D10&lt;C10,G10&lt;F10,AND(F10&lt;B10,F10&gt;0),AND(G10&lt;B10,G10&gt;0),C10&lt;B10),ISEVEN(COUNTA(B10:G10)),COUNTA(B10:G10)&gt;2),"Make sure to enter time in 24-hour format (e.g. 15:45 for 3:45pm)",""))</f>
        <v/>
      </c>
      <c r="M10" s="94"/>
    </row>
    <row r="11" spans="1:13" ht="54.75" customHeight="1" x14ac:dyDescent="0.2">
      <c r="B11" s="8"/>
      <c r="C11" s="8"/>
      <c r="D11" s="8"/>
      <c r="E11" s="8"/>
      <c r="F11" s="8"/>
      <c r="G11" s="8"/>
      <c r="H11" s="7"/>
      <c r="I11" s="3"/>
      <c r="J11" s="3"/>
      <c r="K11" s="21" t="str">
        <f>IF((K10=B1),"",IF((K10&lt;B1),CONCATENATE("You're short: need to use ",MROUND((B1-K10),0.25)," hrs. of comp time or PTO"),IF('User Prefs'!B7=0,"You're over on time, but you are ineligible for comp time accrual.",CONCATENATE("Gained ",MROUND((ABS((B1-K10))*'User Prefs'!B7),0.005)," hrs. of comp time"))))</f>
        <v>You're short: need to use 40 hrs. of comp time or PTO</v>
      </c>
      <c r="L11" s="26" t="str">
        <f>CONCATENATE(IF(COUNTIF(K3:K7,"&gt;" &amp;0)=5,"","NOTE: Not all time entries have been filled for Monday through Friday. Check entries for errors. "),IF(AND((K10-B1)&gt;0,H12&gt;0, H12&lt;&gt;""),"Woah, look out! You've used some time off, but gained "&amp; MROUND((ABS((B1-K10))*'User Prefs'!B7),0.005) &amp; " hrs. of comp time. Check those entries.",""))</f>
        <v xml:space="preserve">NOTE: Not all time entries have been filled for Monday through Friday. Check entries for errors. </v>
      </c>
    </row>
    <row r="12" spans="1:13" x14ac:dyDescent="0.2">
      <c r="B12" s="83"/>
      <c r="C12" s="83"/>
      <c r="D12" s="83"/>
      <c r="E12" s="83"/>
      <c r="F12" s="83"/>
      <c r="G12" s="1" t="str">
        <f>IF((SUM(H3:H9)=0),"","Total time off used")</f>
        <v/>
      </c>
      <c r="H12" s="11" t="str">
        <f>IF((G12=""),"",CONCATENATE(SUM(H3:H7)," hours"))</f>
        <v/>
      </c>
      <c r="I12" s="7"/>
      <c r="J12" s="7"/>
      <c r="K12" s="4" t="str">
        <f>IF(SUM(H3:H9)&gt;=(B1*0.8),"Vacation week, huh?","")</f>
        <v/>
      </c>
      <c r="L12" s="5"/>
    </row>
    <row r="13" spans="1:13" x14ac:dyDescent="0.2">
      <c r="B13" s="107"/>
      <c r="C13" s="8"/>
      <c r="D13" s="8"/>
      <c r="E13" s="8"/>
      <c r="F13" s="83"/>
      <c r="G13" s="108" t="str">
        <f>IF(G12="","","Comp")</f>
        <v/>
      </c>
      <c r="H13" s="23" t="str">
        <f>IF(G13="","",IF(SUMIF(I3:I9,"comp",H3:H9)=0,"none",SUMIF(I3:I9,"comp",H3:H9)))</f>
        <v/>
      </c>
      <c r="K13" s="4" t="str">
        <f>IF(OR(K10=0,K10&gt;=B1),"",IF(ISBLANK(B7)=FALSE,"",CONCATENATE("On track for ~", ((COUNTBLANK(K3:K7)-4)*MROUND(AVERAGE(K3:K7),0.25))+K10," hrs. total")))</f>
        <v/>
      </c>
      <c r="L13" s="29"/>
    </row>
    <row r="14" spans="1:13" x14ac:dyDescent="0.2">
      <c r="A14" s="110" t="str">
        <f>IF(K10&gt;=B1,"",IF(AND(COUNTIF(K3:K7,"&gt;=4")=4,COUNTIF(B6:B7,"&gt;0")&gt;2),CONCATENATE("Trying to hit ",B1," hours exactly? Estimate your final punch below"),""))</f>
        <v/>
      </c>
      <c r="B14" s="111"/>
      <c r="C14" s="111"/>
      <c r="D14" s="89"/>
      <c r="G14" s="22" t="str">
        <f>IF(G12="","","PTO")</f>
        <v/>
      </c>
      <c r="H14" s="23" t="str">
        <f>IF(G14="","",IF(SUMIF(I3:I9,"pto",H3:H9)=0,"none",SUMIF(I3:I9,"pto",H3:H9)))</f>
        <v/>
      </c>
      <c r="K14" s="4"/>
      <c r="L14" s="5"/>
    </row>
    <row r="15" spans="1:13" x14ac:dyDescent="0.2">
      <c r="B15" s="83"/>
      <c r="G15" s="22" t="str">
        <f>IF(G12="","","Catastrophic")</f>
        <v/>
      </c>
      <c r="H15" s="23" t="str">
        <f>IF(G15="","",IF(SUMIF(I3:I9,"cat",H3:H9)=0,"none",SUMIF(I3:I9,"cat",H3:H9)))</f>
        <v/>
      </c>
      <c r="K15" s="4"/>
      <c r="L15" s="5"/>
    </row>
    <row r="16" spans="1:13" x14ac:dyDescent="0.2">
      <c r="A16" s="1"/>
      <c r="B16" s="3"/>
      <c r="G16" s="22"/>
      <c r="H16" s="28"/>
      <c r="I16" s="23"/>
      <c r="K16" s="4"/>
      <c r="L16" s="5"/>
    </row>
    <row r="17" spans="1:12" x14ac:dyDescent="0.2">
      <c r="A17" s="1"/>
      <c r="B17" s="3"/>
      <c r="K17" s="4"/>
      <c r="L17" s="5"/>
    </row>
    <row r="18" spans="1:12" x14ac:dyDescent="0.2">
      <c r="A18" s="1"/>
      <c r="B18" s="20"/>
      <c r="C18" s="112"/>
      <c r="D18" s="113"/>
      <c r="E18" s="113"/>
      <c r="F18" s="113"/>
      <c r="G18" s="113"/>
      <c r="H18" s="113"/>
      <c r="I18" s="113"/>
      <c r="J18" s="90"/>
      <c r="K18" s="4"/>
      <c r="L18" s="5"/>
    </row>
    <row r="19" spans="1:12" x14ac:dyDescent="0.2">
      <c r="A19" s="1"/>
      <c r="B19" s="13"/>
      <c r="C19" s="112"/>
      <c r="D19" s="113"/>
      <c r="E19" s="113"/>
      <c r="F19" s="113"/>
      <c r="K19" s="4"/>
      <c r="L19" s="5"/>
    </row>
    <row r="20" spans="1:12" x14ac:dyDescent="0.2">
      <c r="K20" s="4"/>
      <c r="L20" s="5"/>
    </row>
    <row r="21" spans="1:12" x14ac:dyDescent="0.2">
      <c r="K21" s="4"/>
      <c r="L21" s="5"/>
    </row>
    <row r="22" spans="1:12" x14ac:dyDescent="0.2">
      <c r="A22" s="14"/>
      <c r="B22" s="109"/>
      <c r="C22" s="109"/>
      <c r="D22" s="109"/>
      <c r="E22" s="109"/>
      <c r="F22" s="109"/>
      <c r="G22" s="114"/>
      <c r="H22" s="114"/>
      <c r="K22" s="4"/>
      <c r="L22" s="5"/>
    </row>
    <row r="23" spans="1:12" x14ac:dyDescent="0.2">
      <c r="B23" s="115"/>
      <c r="C23" s="115"/>
      <c r="D23" s="115"/>
      <c r="E23" s="115"/>
      <c r="F23" s="115"/>
      <c r="G23" s="115"/>
      <c r="H23" s="115"/>
      <c r="K23" s="4"/>
      <c r="L23" s="5"/>
    </row>
    <row r="24" spans="1:12" x14ac:dyDescent="0.2">
      <c r="B24" s="109"/>
      <c r="C24" s="109"/>
      <c r="D24" s="109"/>
      <c r="E24" s="109"/>
      <c r="F24" s="109"/>
      <c r="G24" s="109"/>
      <c r="H24" s="109"/>
      <c r="K24" s="4"/>
      <c r="L24" s="5"/>
    </row>
    <row r="25" spans="1:12" x14ac:dyDescent="0.2">
      <c r="B25" s="109"/>
      <c r="C25" s="109"/>
      <c r="D25" s="109"/>
      <c r="E25" s="109"/>
      <c r="F25" s="109"/>
      <c r="G25" s="109"/>
      <c r="H25" s="109"/>
      <c r="K25" s="4"/>
      <c r="L25" s="5"/>
    </row>
    <row r="26" spans="1:12" x14ac:dyDescent="0.2">
      <c r="K26" s="4"/>
      <c r="L26" s="5"/>
    </row>
    <row r="27" spans="1:12" x14ac:dyDescent="0.2">
      <c r="K27" s="4"/>
      <c r="L27" s="5"/>
    </row>
    <row r="28" spans="1:12" x14ac:dyDescent="0.2">
      <c r="K28" s="4"/>
      <c r="L28" s="5"/>
    </row>
    <row r="29" spans="1:12" x14ac:dyDescent="0.2">
      <c r="K29" s="4"/>
      <c r="L29" s="5"/>
    </row>
    <row r="30" spans="1:12" x14ac:dyDescent="0.2">
      <c r="K30" s="4"/>
      <c r="L30" s="5"/>
    </row>
    <row r="31" spans="1:12" x14ac:dyDescent="0.2">
      <c r="K31" s="4"/>
      <c r="L31" s="5"/>
    </row>
    <row r="32" spans="1:12" x14ac:dyDescent="0.2">
      <c r="K32" s="4"/>
      <c r="L32" s="5"/>
    </row>
    <row r="33" spans="11:12" x14ac:dyDescent="0.2">
      <c r="K33" s="4"/>
      <c r="L33" s="5"/>
    </row>
    <row r="34" spans="11:12" x14ac:dyDescent="0.2">
      <c r="K34" s="4"/>
      <c r="L34" s="5"/>
    </row>
    <row r="35" spans="11:12" x14ac:dyDescent="0.2">
      <c r="K35" s="4"/>
      <c r="L35" s="5"/>
    </row>
    <row r="36" spans="11:12" x14ac:dyDescent="0.2">
      <c r="K36" s="4"/>
      <c r="L36" s="5"/>
    </row>
    <row r="37" spans="11:12" x14ac:dyDescent="0.2">
      <c r="K37" s="4"/>
      <c r="L37" s="5"/>
    </row>
    <row r="38" spans="11:12" x14ac:dyDescent="0.2">
      <c r="K38" s="4"/>
      <c r="L38" s="5"/>
    </row>
    <row r="39" spans="11:12" x14ac:dyDescent="0.2">
      <c r="K39" s="4"/>
      <c r="L39" s="5"/>
    </row>
    <row r="40" spans="11:12" x14ac:dyDescent="0.2">
      <c r="K40" s="4"/>
      <c r="L40" s="5"/>
    </row>
    <row r="41" spans="11:12" x14ac:dyDescent="0.2">
      <c r="K41" s="4"/>
      <c r="L41" s="5"/>
    </row>
    <row r="42" spans="11:12" x14ac:dyDescent="0.2">
      <c r="K42" s="4"/>
      <c r="L42" s="5"/>
    </row>
    <row r="43" spans="11:12" x14ac:dyDescent="0.2">
      <c r="K43" s="4"/>
      <c r="L43" s="5"/>
    </row>
    <row r="44" spans="11:12" x14ac:dyDescent="0.2">
      <c r="K44" s="4"/>
      <c r="L44" s="5"/>
    </row>
    <row r="45" spans="11:12" x14ac:dyDescent="0.2">
      <c r="K45" s="4"/>
      <c r="L45" s="5"/>
    </row>
    <row r="46" spans="11:12" x14ac:dyDescent="0.2">
      <c r="K46" s="4"/>
      <c r="L46" s="5"/>
    </row>
    <row r="47" spans="11:12" x14ac:dyDescent="0.2">
      <c r="K47" s="4"/>
      <c r="L47" s="5"/>
    </row>
    <row r="48" spans="11:12" x14ac:dyDescent="0.2">
      <c r="K48" s="4"/>
      <c r="L48" s="5"/>
    </row>
    <row r="49" spans="11:12" x14ac:dyDescent="0.2">
      <c r="K49" s="4"/>
      <c r="L49" s="5"/>
    </row>
    <row r="50" spans="11:12" x14ac:dyDescent="0.2">
      <c r="K50" s="4"/>
      <c r="L50" s="5"/>
    </row>
    <row r="51" spans="11:12" x14ac:dyDescent="0.2">
      <c r="K51" s="4"/>
      <c r="L51" s="5"/>
    </row>
    <row r="52" spans="11:12" x14ac:dyDescent="0.2">
      <c r="K52" s="4"/>
      <c r="L52" s="5"/>
    </row>
    <row r="53" spans="11:12" x14ac:dyDescent="0.2">
      <c r="K53" s="4"/>
      <c r="L53" s="5"/>
    </row>
    <row r="54" spans="11:12" x14ac:dyDescent="0.2">
      <c r="K54" s="4"/>
      <c r="L54" s="5"/>
    </row>
    <row r="55" spans="11:12" x14ac:dyDescent="0.2">
      <c r="K55" s="4"/>
      <c r="L55" s="5"/>
    </row>
    <row r="56" spans="11:12" x14ac:dyDescent="0.2">
      <c r="K56" s="4"/>
      <c r="L56" s="5"/>
    </row>
    <row r="57" spans="11:12" x14ac:dyDescent="0.2">
      <c r="K57" s="4"/>
      <c r="L57" s="5"/>
    </row>
    <row r="58" spans="11:12" x14ac:dyDescent="0.2">
      <c r="K58" s="4"/>
      <c r="L58" s="5"/>
    </row>
    <row r="59" spans="11:12" x14ac:dyDescent="0.2">
      <c r="K59" s="4"/>
      <c r="L59" s="5"/>
    </row>
    <row r="60" spans="11:12" x14ac:dyDescent="0.2">
      <c r="K60" s="4"/>
      <c r="L60" s="5"/>
    </row>
    <row r="61" spans="11:12" x14ac:dyDescent="0.2">
      <c r="K61" s="4"/>
      <c r="L61" s="5"/>
    </row>
    <row r="62" spans="11:12" x14ac:dyDescent="0.2">
      <c r="K62" s="4"/>
      <c r="L62" s="5"/>
    </row>
    <row r="63" spans="11:12" x14ac:dyDescent="0.2">
      <c r="K63" s="4"/>
      <c r="L63" s="5"/>
    </row>
    <row r="64" spans="11:12" x14ac:dyDescent="0.2">
      <c r="K64" s="4"/>
      <c r="L64" s="5"/>
    </row>
    <row r="65" spans="11:12" x14ac:dyDescent="0.2">
      <c r="K65" s="4"/>
      <c r="L65" s="5"/>
    </row>
    <row r="66" spans="11:12" x14ac:dyDescent="0.2">
      <c r="K66" s="4"/>
      <c r="L66" s="5"/>
    </row>
    <row r="67" spans="11:12" x14ac:dyDescent="0.2">
      <c r="K67" s="4"/>
      <c r="L67" s="5"/>
    </row>
    <row r="68" spans="11:12" x14ac:dyDescent="0.2">
      <c r="K68" s="4"/>
      <c r="L68" s="5"/>
    </row>
    <row r="69" spans="11:12" x14ac:dyDescent="0.2">
      <c r="K69" s="4"/>
      <c r="L69" s="5"/>
    </row>
    <row r="70" spans="11:12"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95" spans="3:3" ht="12.75" customHeight="1" x14ac:dyDescent="0.2">
      <c r="C195" s="83"/>
    </row>
  </sheetData>
  <dataConsolidate/>
  <mergeCells count="7">
    <mergeCell ref="B25:H25"/>
    <mergeCell ref="A14:C14"/>
    <mergeCell ref="C18:I18"/>
    <mergeCell ref="C19:F19"/>
    <mergeCell ref="B22:H22"/>
    <mergeCell ref="B23:H23"/>
    <mergeCell ref="B24:H24"/>
  </mergeCells>
  <conditionalFormatting sqref="A14:C14">
    <cfRule type="cellIs" dxfId="32" priority="9" stopIfTrue="1" operator="notEqual">
      <formula>""</formula>
    </cfRule>
  </conditionalFormatting>
  <conditionalFormatting sqref="A19:B19">
    <cfRule type="cellIs" dxfId="31" priority="8" stopIfTrue="1" operator="notEqual">
      <formula>""</formula>
    </cfRule>
  </conditionalFormatting>
  <conditionalFormatting sqref="H3:I7">
    <cfRule type="containsBlanks" dxfId="30" priority="10" stopIfTrue="1">
      <formula>LEN(TRIM(H3))=0</formula>
    </cfRule>
  </conditionalFormatting>
  <conditionalFormatting sqref="B3:C3 E3:G3 B4 D4:G4 B5:G7">
    <cfRule type="containsBlanks" dxfId="29" priority="7" stopIfTrue="1">
      <formula>LEN(TRIM(B3))=0</formula>
    </cfRule>
  </conditionalFormatting>
  <conditionalFormatting sqref="D3">
    <cfRule type="containsBlanks" dxfId="28" priority="6" stopIfTrue="1">
      <formula>LEN(TRIM(D3))=0</formula>
    </cfRule>
  </conditionalFormatting>
  <conditionalFormatting sqref="H9:I9">
    <cfRule type="containsBlanks" dxfId="27" priority="5" stopIfTrue="1">
      <formula>LEN(TRIM(H9))=0</formula>
    </cfRule>
  </conditionalFormatting>
  <conditionalFormatting sqref="B9:G9">
    <cfRule type="containsBlanks" dxfId="26" priority="4" stopIfTrue="1">
      <formula>LEN(TRIM(B9))=0</formula>
    </cfRule>
  </conditionalFormatting>
  <conditionalFormatting sqref="H8:I8">
    <cfRule type="containsBlanks" dxfId="25" priority="3" stopIfTrue="1">
      <formula>LEN(TRIM(H8))=0</formula>
    </cfRule>
  </conditionalFormatting>
  <conditionalFormatting sqref="B8:G8">
    <cfRule type="containsBlanks" dxfId="24" priority="2" stopIfTrue="1">
      <formula>LEN(TRIM(B8))=0</formula>
    </cfRule>
  </conditionalFormatting>
  <conditionalFormatting sqref="C4">
    <cfRule type="containsBlanks" dxfId="23"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35">
        <v>10.75</v>
      </c>
      <c r="L3" s="3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v>4.75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v>10</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v>7.25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v>7.25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x14ac:dyDescent="0.2">
      <c r="A13" s="10" t="s">
        <v>9</v>
      </c>
      <c r="B13" s="46"/>
      <c r="C13" s="47"/>
      <c r="D13" s="47"/>
      <c r="E13" s="47"/>
      <c r="F13" s="47"/>
      <c r="G13" s="47"/>
      <c r="H13" s="66"/>
      <c r="I13" s="42"/>
      <c r="J13" s="48" t="str">
        <f t="shared" si="0"/>
        <v/>
      </c>
      <c r="K13" s="49">
        <v>7.25</v>
      </c>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56"/>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47.25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10.875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10" t="str">
        <f>IF(K15&gt;=B1,"",IF(AND(COUNTIF(K3:K11,"&gt;=4")=4,COUNTIF(B9:B12,"&gt;0")&gt;2),CONCATENATE("Trying to hit ",B1," hours exactly? Estimate your final punch below"),""))</f>
        <v/>
      </c>
      <c r="B19" s="111"/>
      <c r="C19" s="111"/>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12" t="str">
        <f>IF((A23=""),"",IF(AND((ISBLANK(D11)=FALSE),(ISBLANK(C11)=FALSE)),"You've already entered in lunch punches for today. I'll use those numbers.","&lt;--- Enter today's lunch time as a decimal (e.g. 45 minutes would be .75). Entering nothing will default to 1 hour. You can enter 0 for no lunch."))</f>
        <v/>
      </c>
      <c r="D23" s="113"/>
      <c r="E23" s="113"/>
      <c r="F23" s="113"/>
      <c r="G23" s="113"/>
      <c r="H23" s="113"/>
      <c r="I23" s="113"/>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12" t="str">
        <f>IF((A24=""),"",IF((COUNTA(B11:D11)=2),"Looks like you've got only one lunch punch. Enter another to calculate",""))</f>
        <v/>
      </c>
      <c r="D24" s="113"/>
      <c r="E24" s="113"/>
      <c r="F24" s="113"/>
      <c r="K24" s="4"/>
      <c r="L24" s="5"/>
    </row>
    <row r="25" spans="1:12" ht="12.75" customHeight="1" x14ac:dyDescent="0.2">
      <c r="K25" s="4"/>
      <c r="L25" s="5"/>
    </row>
    <row r="26" spans="1:12" ht="12.75" customHeight="1" x14ac:dyDescent="0.2">
      <c r="K26" s="4"/>
      <c r="L26" s="5"/>
    </row>
    <row r="27" spans="1:12" ht="29.25" customHeight="1" x14ac:dyDescent="0.2">
      <c r="A27" s="14" t="s">
        <v>3</v>
      </c>
      <c r="B27" s="109" t="s">
        <v>6</v>
      </c>
      <c r="C27" s="109"/>
      <c r="D27" s="109"/>
      <c r="E27" s="109"/>
      <c r="F27" s="109"/>
      <c r="G27" s="114"/>
      <c r="H27" s="114"/>
      <c r="K27" s="4"/>
      <c r="L27" s="5"/>
    </row>
    <row r="28" spans="1:12" ht="28.5" customHeight="1" x14ac:dyDescent="0.2">
      <c r="B28" s="115" t="s">
        <v>19</v>
      </c>
      <c r="C28" s="115"/>
      <c r="D28" s="115"/>
      <c r="E28" s="115"/>
      <c r="F28" s="115"/>
      <c r="G28" s="115"/>
      <c r="H28" s="115"/>
      <c r="K28" s="4"/>
      <c r="L28" s="5"/>
    </row>
    <row r="29" spans="1:12" ht="41.25" customHeight="1" x14ac:dyDescent="0.2">
      <c r="B29" s="109" t="s">
        <v>75</v>
      </c>
      <c r="C29" s="109"/>
      <c r="D29" s="109"/>
      <c r="E29" s="109"/>
      <c r="F29" s="109"/>
      <c r="G29" s="109"/>
      <c r="H29" s="109"/>
      <c r="K29" s="4"/>
      <c r="L29" s="5"/>
    </row>
    <row r="30" spans="1:12" ht="29.25" customHeight="1" x14ac:dyDescent="0.2">
      <c r="B30" s="109" t="s">
        <v>17</v>
      </c>
      <c r="C30" s="109"/>
      <c r="D30" s="109"/>
      <c r="E30" s="109"/>
      <c r="F30" s="109"/>
      <c r="G30" s="109"/>
      <c r="H30" s="109"/>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22" priority="8" stopIfTrue="1" operator="notEqual">
      <formula>""</formula>
    </cfRule>
  </conditionalFormatting>
  <conditionalFormatting sqref="A24:B24">
    <cfRule type="cellIs" dxfId="21" priority="7" stopIfTrue="1" operator="notEqual">
      <formula>""</formula>
    </cfRule>
  </conditionalFormatting>
  <conditionalFormatting sqref="H3:I12">
    <cfRule type="containsBlanks" dxfId="20" priority="9" stopIfTrue="1">
      <formula>LEN(TRIM(H3))=0</formula>
    </cfRule>
  </conditionalFormatting>
  <conditionalFormatting sqref="B3:C3 E3:G3 B4:G12">
    <cfRule type="containsBlanks" dxfId="19" priority="6" stopIfTrue="1">
      <formula>LEN(TRIM(B3))=0</formula>
    </cfRule>
  </conditionalFormatting>
  <conditionalFormatting sqref="D3">
    <cfRule type="containsBlanks" dxfId="18" priority="5" stopIfTrue="1">
      <formula>LEN(TRIM(D3))=0</formula>
    </cfRule>
  </conditionalFormatting>
  <conditionalFormatting sqref="H14:I14">
    <cfRule type="containsBlanks" dxfId="17" priority="4" stopIfTrue="1">
      <formula>LEN(TRIM(H14))=0</formula>
    </cfRule>
  </conditionalFormatting>
  <conditionalFormatting sqref="B14:G14">
    <cfRule type="containsBlanks" dxfId="16" priority="3" stopIfTrue="1">
      <formula>LEN(TRIM(B14))=0</formula>
    </cfRule>
  </conditionalFormatting>
  <conditionalFormatting sqref="H13:I13">
    <cfRule type="containsBlanks" dxfId="15" priority="2" stopIfTrue="1">
      <formula>LEN(TRIM(H13))=0</formula>
    </cfRule>
  </conditionalFormatting>
  <conditionalFormatting sqref="B13:G13">
    <cfRule type="containsBlanks" dxfId="14"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100"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v>0.34583333333333333</v>
      </c>
      <c r="C3" s="31">
        <v>0.50555555555555554</v>
      </c>
      <c r="D3" s="31">
        <v>0.53472222222222221</v>
      </c>
      <c r="E3" s="31">
        <v>0.70347222222222228</v>
      </c>
      <c r="F3" s="31"/>
      <c r="G3" s="75"/>
      <c r="H3" s="32"/>
      <c r="I3" s="33"/>
      <c r="J3" s="34" t="str">
        <f>IF(OR(I3="comp",I3="cat",I3="pto",I3=""),"",I3)</f>
        <v/>
      </c>
      <c r="K3" s="95">
        <v>8.25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v>0.33833333333333332</v>
      </c>
      <c r="C5" s="47"/>
      <c r="D5" s="47"/>
      <c r="E5" s="47">
        <v>0.45416666666666666</v>
      </c>
      <c r="F5" s="82"/>
      <c r="G5" s="47"/>
      <c r="H5" s="40"/>
      <c r="I5" s="42"/>
      <c r="J5" s="48" t="str">
        <f t="shared" si="0"/>
        <v/>
      </c>
      <c r="K5" s="97">
        <v>3</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11.25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28.75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On track for ~28.5 hrs. total</v>
      </c>
      <c r="L18" s="29"/>
    </row>
    <row r="19" spans="1:12" ht="12.75" customHeight="1" x14ac:dyDescent="0.2">
      <c r="A19" s="110" t="str">
        <f>IF(K15&gt;=B1,"",IF(AND(COUNTIF(K3:K11,"&gt;=4")=4,COUNTIF(B9:B12,"&gt;0")&gt;2),CONCATENATE("Trying to hit ",B1," hours exactly? Estimate your final punch below"),""))</f>
        <v/>
      </c>
      <c r="B19" s="111"/>
      <c r="C19" s="111"/>
      <c r="D19" s="101"/>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12" t="str">
        <f>IF((A23=""),"",IF(AND((ISBLANK(D11)=FALSE),(ISBLANK(C11)=FALSE)),"You've already entered in lunch punches for today. I'll use those numbers.","&lt;--- Enter today's lunch time as a decimal (e.g. 45 minutes would be .75). Entering nothing will default to 1 hour. You can enter 0 for no lunch."))</f>
        <v/>
      </c>
      <c r="D23" s="113"/>
      <c r="E23" s="113"/>
      <c r="F23" s="113"/>
      <c r="G23" s="113"/>
      <c r="H23" s="113"/>
      <c r="I23" s="113"/>
      <c r="J23" s="102"/>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12" t="str">
        <f>IF((A24=""),"",IF((COUNTA(B11:D11)=2),"Looks like you've got only one lunch punch. Enter another to calculate",""))</f>
        <v/>
      </c>
      <c r="D24" s="113"/>
      <c r="E24" s="113"/>
      <c r="F24" s="113"/>
      <c r="K24" s="4"/>
      <c r="L24" s="5"/>
    </row>
    <row r="25" spans="1:12" ht="12.75" customHeight="1" x14ac:dyDescent="0.2">
      <c r="K25" s="4"/>
      <c r="L25" s="5"/>
    </row>
    <row r="26" spans="1:12" ht="12.75" customHeight="1" x14ac:dyDescent="0.2">
      <c r="K26" s="4"/>
      <c r="L26" s="5"/>
    </row>
    <row r="27" spans="1:12" ht="29.25" customHeight="1" x14ac:dyDescent="0.2">
      <c r="A27" s="14" t="s">
        <v>3</v>
      </c>
      <c r="B27" s="109" t="s">
        <v>6</v>
      </c>
      <c r="C27" s="109"/>
      <c r="D27" s="109"/>
      <c r="E27" s="109"/>
      <c r="F27" s="109"/>
      <c r="G27" s="114"/>
      <c r="H27" s="114"/>
      <c r="K27" s="4"/>
      <c r="L27" s="5"/>
    </row>
    <row r="28" spans="1:12" ht="28.5" customHeight="1" x14ac:dyDescent="0.2">
      <c r="B28" s="115" t="s">
        <v>19</v>
      </c>
      <c r="C28" s="115"/>
      <c r="D28" s="115"/>
      <c r="E28" s="115"/>
      <c r="F28" s="115"/>
      <c r="G28" s="115"/>
      <c r="H28" s="115"/>
      <c r="K28" s="4"/>
      <c r="L28" s="5"/>
    </row>
    <row r="29" spans="1:12" ht="41.25" customHeight="1" x14ac:dyDescent="0.2">
      <c r="B29" s="109" t="s">
        <v>75</v>
      </c>
      <c r="C29" s="109"/>
      <c r="D29" s="109"/>
      <c r="E29" s="109"/>
      <c r="F29" s="109"/>
      <c r="G29" s="109"/>
      <c r="H29" s="109"/>
      <c r="K29" s="4"/>
      <c r="L29" s="5"/>
    </row>
    <row r="30" spans="1:12" ht="29.25" customHeight="1" x14ac:dyDescent="0.2">
      <c r="B30" s="109" t="s">
        <v>17</v>
      </c>
      <c r="C30" s="109"/>
      <c r="D30" s="109"/>
      <c r="E30" s="109"/>
      <c r="F30" s="109"/>
      <c r="G30" s="109"/>
      <c r="H30" s="109"/>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3" priority="9" stopIfTrue="1" operator="notEqual">
      <formula>""</formula>
    </cfRule>
  </conditionalFormatting>
  <conditionalFormatting sqref="A24:B24">
    <cfRule type="cellIs" dxfId="12" priority="8" stopIfTrue="1" operator="notEqual">
      <formula>""</formula>
    </cfRule>
  </conditionalFormatting>
  <conditionalFormatting sqref="H3:I12">
    <cfRule type="containsBlanks" dxfId="11" priority="10" stopIfTrue="1">
      <formula>LEN(TRIM(H3))=0</formula>
    </cfRule>
  </conditionalFormatting>
  <conditionalFormatting sqref="B3:C3 E3:G3 B4:G4 B6:G12 B5 D5:G5">
    <cfRule type="containsBlanks" dxfId="10" priority="7" stopIfTrue="1">
      <formula>LEN(TRIM(B3))=0</formula>
    </cfRule>
  </conditionalFormatting>
  <conditionalFormatting sqref="D3">
    <cfRule type="containsBlanks" dxfId="9" priority="6" stopIfTrue="1">
      <formula>LEN(TRIM(D3))=0</formula>
    </cfRule>
  </conditionalFormatting>
  <conditionalFormatting sqref="H14:I14">
    <cfRule type="containsBlanks" dxfId="8" priority="5" stopIfTrue="1">
      <formula>LEN(TRIM(H14))=0</formula>
    </cfRule>
  </conditionalFormatting>
  <conditionalFormatting sqref="B14:G14">
    <cfRule type="containsBlanks" dxfId="7" priority="4" stopIfTrue="1">
      <formula>LEN(TRIM(B14))=0</formula>
    </cfRule>
  </conditionalFormatting>
  <conditionalFormatting sqref="H13:I13">
    <cfRule type="containsBlanks" dxfId="6" priority="3" stopIfTrue="1">
      <formula>LEN(TRIM(H13))=0</formula>
    </cfRule>
  </conditionalFormatting>
  <conditionalFormatting sqref="B13:G13">
    <cfRule type="containsBlanks" dxfId="5" priority="2" stopIfTrue="1">
      <formula>LEN(TRIM(B13))=0</formula>
    </cfRule>
  </conditionalFormatting>
  <conditionalFormatting sqref="C5">
    <cfRule type="containsBlanks" dxfId="4"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10" t="str">
        <f>IF(K15&gt;=B1,"",IF(AND(COUNTIF(K3:K11,"&gt;=4")=4,COUNTIF(B9:B12,"&gt;0")&gt;2),CONCATENATE("Trying to hit ",B1," hours exactly? Estimate your final punch below"),""))</f>
        <v>Trying to hit 40 hours exactly? Estimate your final punch below</v>
      </c>
      <c r="B19" s="111"/>
      <c r="C19" s="111"/>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12"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13"/>
      <c r="E23" s="113"/>
      <c r="F23" s="113"/>
      <c r="G23" s="113"/>
      <c r="H23" s="113"/>
      <c r="I23" s="113"/>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12" t="str">
        <f>IF((A24=""),"",IF((COUNTA(B11:D11)=2),"Looks like you've got only one lunch punch. Enter another to calculate",""))</f>
        <v/>
      </c>
      <c r="D24" s="113"/>
      <c r="E24" s="113"/>
      <c r="F24" s="113"/>
      <c r="K24" s="4"/>
      <c r="L24" s="5"/>
    </row>
    <row r="25" spans="1:12" ht="12.75" customHeight="1" x14ac:dyDescent="0.2">
      <c r="K25" s="4"/>
      <c r="L25" s="5"/>
    </row>
    <row r="26" spans="1:12" ht="12.75" customHeight="1" x14ac:dyDescent="0.2">
      <c r="K26" s="4"/>
      <c r="L26" s="5"/>
    </row>
    <row r="27" spans="1:12" ht="29.25" customHeight="1" x14ac:dyDescent="0.2">
      <c r="A27" s="14" t="s">
        <v>3</v>
      </c>
      <c r="B27" s="109" t="s">
        <v>6</v>
      </c>
      <c r="C27" s="109"/>
      <c r="D27" s="109"/>
      <c r="E27" s="109"/>
      <c r="F27" s="109"/>
      <c r="G27" s="114"/>
      <c r="H27" s="114"/>
      <c r="K27" s="4"/>
      <c r="L27" s="5"/>
    </row>
    <row r="28" spans="1:12" ht="28.5" customHeight="1" x14ac:dyDescent="0.2">
      <c r="B28" s="115" t="s">
        <v>19</v>
      </c>
      <c r="C28" s="115"/>
      <c r="D28" s="115"/>
      <c r="E28" s="115"/>
      <c r="F28" s="115"/>
      <c r="G28" s="115"/>
      <c r="H28" s="115"/>
      <c r="K28" s="4"/>
      <c r="L28" s="5"/>
    </row>
    <row r="29" spans="1:12" ht="41.25" customHeight="1" x14ac:dyDescent="0.2">
      <c r="B29" s="109" t="s">
        <v>5</v>
      </c>
      <c r="C29" s="109"/>
      <c r="D29" s="109"/>
      <c r="E29" s="109"/>
      <c r="F29" s="109"/>
      <c r="G29" s="109"/>
      <c r="H29" s="109"/>
      <c r="K29" s="4"/>
      <c r="L29" s="5"/>
    </row>
    <row r="30" spans="1:12" ht="29.25" customHeight="1" x14ac:dyDescent="0.2">
      <c r="B30" s="109" t="s">
        <v>17</v>
      </c>
      <c r="C30" s="109"/>
      <c r="D30" s="109"/>
      <c r="E30" s="109"/>
      <c r="F30" s="109"/>
      <c r="G30" s="109"/>
      <c r="H30" s="109"/>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3" priority="3" stopIfTrue="1" operator="notEqual">
      <formula>""</formula>
    </cfRule>
  </conditionalFormatting>
  <conditionalFormatting sqref="A24:B24">
    <cfRule type="cellIs" dxfId="2" priority="2" stopIfTrue="1" operator="notEqual">
      <formula>""</formula>
    </cfRule>
  </conditionalFormatting>
  <conditionalFormatting sqref="H3:I13">
    <cfRule type="containsBlanks" dxfId="1" priority="4" stopIfTrue="1">
      <formula>LEN(TRIM(H3))=0</formula>
    </cfRule>
  </conditionalFormatting>
  <conditionalFormatting sqref="B3:G13">
    <cfRule type="containsBlanks" dxfId="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13" sqref="A13"/>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workbookViewId="0">
      <selection activeCell="N3" sqref="N3:N10"/>
    </sheetView>
  </sheetViews>
  <sheetFormatPr defaultRowHeight="12.75" x14ac:dyDescent="0.2"/>
  <cols>
    <col min="1" max="1" width="5.7109375" customWidth="1"/>
  </cols>
  <sheetData>
    <row r="1" spans="1:18" x14ac:dyDescent="0.2">
      <c r="A1" s="116" t="s">
        <v>28</v>
      </c>
      <c r="B1" s="116"/>
      <c r="C1" s="116"/>
      <c r="D1" s="116"/>
      <c r="E1" s="116"/>
      <c r="N1" s="117" t="s">
        <v>41</v>
      </c>
      <c r="O1" s="117"/>
      <c r="P1" s="117"/>
      <c r="Q1" s="117"/>
      <c r="R1" s="117"/>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94</v>
      </c>
    </row>
    <row r="52" spans="1:2" x14ac:dyDescent="0.2">
      <c r="B52" t="s">
        <v>92</v>
      </c>
    </row>
    <row r="54" spans="1:2" x14ac:dyDescent="0.2">
      <c r="A54" s="70" t="s">
        <v>93</v>
      </c>
    </row>
    <row r="55" spans="1:2" x14ac:dyDescent="0.2">
      <c r="A55" t="s">
        <v>88</v>
      </c>
      <c r="B55" t="s">
        <v>89</v>
      </c>
    </row>
    <row r="56" spans="1:2" x14ac:dyDescent="0.2">
      <c r="A56" t="s">
        <v>88</v>
      </c>
      <c r="B56" t="s">
        <v>90</v>
      </c>
    </row>
    <row r="57" spans="1:2" x14ac:dyDescent="0.2">
      <c r="A57" t="s">
        <v>88</v>
      </c>
      <c r="B57" t="s">
        <v>91</v>
      </c>
    </row>
    <row r="58" spans="1:2" x14ac:dyDescent="0.2">
      <c r="B58" t="s">
        <v>95</v>
      </c>
    </row>
    <row r="59" spans="1:2" x14ac:dyDescent="0.2">
      <c r="B59" t="s">
        <v>96</v>
      </c>
    </row>
    <row r="60" spans="1:2" x14ac:dyDescent="0.2">
      <c r="B60" t="s">
        <v>98</v>
      </c>
    </row>
    <row r="61" spans="1:2" x14ac:dyDescent="0.2">
      <c r="A61" t="s">
        <v>88</v>
      </c>
      <c r="B61" t="s">
        <v>99</v>
      </c>
    </row>
    <row r="62" spans="1:2" x14ac:dyDescent="0.2">
      <c r="A62" t="s">
        <v>88</v>
      </c>
      <c r="B62" t="s">
        <v>100</v>
      </c>
    </row>
    <row r="63" spans="1:2" x14ac:dyDescent="0.2">
      <c r="B63" t="s">
        <v>101</v>
      </c>
    </row>
    <row r="64" spans="1:2" x14ac:dyDescent="0.2">
      <c r="B64" t="s">
        <v>102</v>
      </c>
    </row>
    <row r="66" spans="1:2" x14ac:dyDescent="0.2">
      <c r="A66" s="70" t="s">
        <v>104</v>
      </c>
    </row>
    <row r="67" spans="1:2" x14ac:dyDescent="0.2">
      <c r="A67" s="70"/>
      <c r="B67" t="s">
        <v>103</v>
      </c>
    </row>
    <row r="68" spans="1:2" x14ac:dyDescent="0.2">
      <c r="B68" t="s">
        <v>105</v>
      </c>
    </row>
    <row r="69" spans="1:2" x14ac:dyDescent="0.2">
      <c r="B69" s="99" t="s">
        <v>106</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Example</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2013-07-29T14:51:54Z</dcterms:modified>
</cp:coreProperties>
</file>